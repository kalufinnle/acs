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jacob\Documents\UTAT Rocketry\Hybrid Simulations\Rocket Sim Current\Sim with pressurant\"/>
    </mc:Choice>
  </mc:AlternateContent>
  <xr:revisionPtr revIDLastSave="0" documentId="13_ncr:1_{C0072354-9C0F-41DA-81C3-9E7AC747EFB9}" xr6:coauthVersionLast="45" xr6:coauthVersionMax="45" xr10:uidLastSave="{00000000-0000-0000-0000-000000000000}"/>
  <bookViews>
    <workbookView xWindow="-110" yWindow="-110" windowWidth="19420" windowHeight="10420" tabRatio="959" firstSheet="2" activeTab="5" xr2:uid="{00000000-000D-0000-FFFF-FFFF00000000}"/>
  </bookViews>
  <sheets>
    <sheet name="Deliverance II (OF 4.5)" sheetId="11" state="hidden" r:id="rId1"/>
    <sheet name="Deliverance II" sheetId="1" state="hidden" r:id="rId2"/>
    <sheet name="Recordbreaker" sheetId="3" r:id="rId3"/>
    <sheet name="Import Data_Deliverance II" sheetId="12" state="hidden" r:id="rId4"/>
    <sheet name="Import Data_Deliverance II URRG" sheetId="2" state="hidden" r:id="rId5"/>
    <sheet name="Import Data_Recordbreaker" sheetId="4" r:id="rId6"/>
    <sheet name="OF Trade for Record Breaker" sheetId="6" r:id="rId7"/>
    <sheet name="Results" sheetId="9" r:id="rId8"/>
    <sheet name="Import Engine_Sim" sheetId="10" state="hidden" r:id="rId9"/>
  </sheets>
  <externalReferences>
    <externalReference r:id="rId10"/>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7" i="3" l="1"/>
  <c r="H24" i="3" l="1"/>
  <c r="O36" i="3"/>
  <c r="B5" i="4" l="1"/>
  <c r="C19" i="3"/>
  <c r="N23" i="3"/>
  <c r="H40" i="3"/>
  <c r="H20" i="3"/>
  <c r="H35" i="3"/>
  <c r="H34" i="3"/>
  <c r="C22" i="3" l="1"/>
  <c r="C28" i="3" l="1"/>
  <c r="N37" i="3" s="1"/>
  <c r="C125" i="3" l="1"/>
  <c r="B6" i="4" l="1"/>
  <c r="B22" i="4" l="1"/>
  <c r="B21" i="4"/>
  <c r="O40" i="3"/>
  <c r="O39" i="3"/>
  <c r="O35" i="3" s="1"/>
  <c r="D125" i="3"/>
  <c r="I22" i="3"/>
  <c r="C40" i="3"/>
  <c r="C54" i="3"/>
  <c r="D54" i="3" s="1"/>
  <c r="O38" i="3" l="1"/>
  <c r="B28" i="4"/>
  <c r="C69" i="3"/>
  <c r="D69" i="3" s="1"/>
  <c r="C68" i="3"/>
  <c r="D68" i="3" s="1"/>
  <c r="C67" i="3"/>
  <c r="D67" i="3" s="1"/>
  <c r="C66" i="3"/>
  <c r="D66" i="3" s="1"/>
  <c r="C58" i="3"/>
  <c r="D58" i="3" s="1"/>
  <c r="C50" i="3"/>
  <c r="D50" i="3" s="1"/>
  <c r="C60" i="3"/>
  <c r="D60" i="3" s="1"/>
  <c r="C59" i="3"/>
  <c r="D59" i="3" s="1"/>
  <c r="C57" i="3"/>
  <c r="D57" i="3" s="1"/>
  <c r="C49" i="3"/>
  <c r="D49" i="3" s="1"/>
  <c r="C53" i="3"/>
  <c r="D53" i="3" s="1"/>
  <c r="C51" i="3"/>
  <c r="D51" i="3" s="1"/>
  <c r="C65" i="3"/>
  <c r="D65" i="3" s="1"/>
  <c r="C64" i="3"/>
  <c r="D64" i="3" s="1"/>
  <c r="C56" i="3"/>
  <c r="D56" i="3" s="1"/>
  <c r="C48" i="3"/>
  <c r="D48" i="3" s="1"/>
  <c r="C63" i="3"/>
  <c r="D63" i="3" s="1"/>
  <c r="C61" i="3"/>
  <c r="D61" i="3" s="1"/>
  <c r="C52" i="3"/>
  <c r="D52" i="3" s="1"/>
  <c r="C71" i="3"/>
  <c r="D71" i="3" s="1"/>
  <c r="C55" i="3"/>
  <c r="D55" i="3" s="1"/>
  <c r="C70" i="3"/>
  <c r="D70" i="3" s="1"/>
  <c r="C62" i="3"/>
  <c r="D62" i="3" s="1"/>
  <c r="N38" i="3" l="1"/>
  <c r="B20" i="12"/>
  <c r="B25" i="12"/>
  <c r="B24" i="12"/>
  <c r="B23" i="12"/>
  <c r="B14" i="12"/>
  <c r="B13" i="12"/>
  <c r="B12" i="12"/>
  <c r="B8" i="12"/>
  <c r="B6" i="12"/>
  <c r="J5" i="2"/>
  <c r="B1" i="12"/>
  <c r="B1" i="2" l="1"/>
  <c r="H21" i="1" l="1"/>
  <c r="C38" i="1"/>
  <c r="R39" i="11"/>
  <c r="R36" i="11" s="1"/>
  <c r="R38" i="11"/>
  <c r="R35" i="11" s="1"/>
  <c r="R37" i="11" s="1"/>
  <c r="C38" i="11"/>
  <c r="C39" i="11" s="1"/>
  <c r="C28" i="11"/>
  <c r="C27" i="11"/>
  <c r="H21" i="11"/>
  <c r="H20" i="11"/>
  <c r="C189" i="11" s="1"/>
  <c r="D189" i="11" s="1"/>
  <c r="C19" i="11"/>
  <c r="C22" i="11" s="1"/>
  <c r="B26" i="12" l="1"/>
  <c r="J26" i="12" s="1"/>
  <c r="B5" i="12"/>
  <c r="J5" i="12" s="1"/>
  <c r="C73" i="11"/>
  <c r="D73" i="11" s="1"/>
  <c r="E73" i="11" s="1"/>
  <c r="C81" i="11"/>
  <c r="D81" i="11" s="1"/>
  <c r="E81" i="11" s="1"/>
  <c r="C87" i="11"/>
  <c r="D87" i="11" s="1"/>
  <c r="F87" i="11" s="1"/>
  <c r="C113" i="11"/>
  <c r="D113" i="11" s="1"/>
  <c r="C151" i="11"/>
  <c r="D151" i="11" s="1"/>
  <c r="F151" i="11" s="1"/>
  <c r="C163" i="11"/>
  <c r="D163" i="11" s="1"/>
  <c r="E163" i="11" s="1"/>
  <c r="C215" i="11"/>
  <c r="D215" i="11" s="1"/>
  <c r="F215" i="11" s="1"/>
  <c r="C103" i="11"/>
  <c r="D103" i="11" s="1"/>
  <c r="E103" i="11" s="1"/>
  <c r="C157" i="11"/>
  <c r="D157" i="11" s="1"/>
  <c r="E157" i="11" s="1"/>
  <c r="C195" i="11"/>
  <c r="D195" i="11" s="1"/>
  <c r="E195" i="11" s="1"/>
  <c r="C51" i="11"/>
  <c r="D51" i="11" s="1"/>
  <c r="E51" i="11" s="1"/>
  <c r="C111" i="11"/>
  <c r="D111" i="11" s="1"/>
  <c r="F111" i="11" s="1"/>
  <c r="C221" i="11"/>
  <c r="D221" i="11" s="1"/>
  <c r="F221" i="11" s="1"/>
  <c r="C95" i="11"/>
  <c r="D95" i="11" s="1"/>
  <c r="F95" i="11" s="1"/>
  <c r="C191" i="11"/>
  <c r="D191" i="11" s="1"/>
  <c r="E191" i="11" s="1"/>
  <c r="C47" i="11"/>
  <c r="D47" i="11" s="1"/>
  <c r="E47" i="11" s="1"/>
  <c r="C57" i="11"/>
  <c r="D57" i="11" s="1"/>
  <c r="F57" i="11" s="1"/>
  <c r="C147" i="11"/>
  <c r="D147" i="11" s="1"/>
  <c r="C159" i="11"/>
  <c r="D159" i="11" s="1"/>
  <c r="E159" i="11" s="1"/>
  <c r="C183" i="11"/>
  <c r="D183" i="11" s="1"/>
  <c r="E183" i="11" s="1"/>
  <c r="C226" i="11"/>
  <c r="D226" i="11" s="1"/>
  <c r="F226" i="11" s="1"/>
  <c r="C224" i="11"/>
  <c r="D224" i="11" s="1"/>
  <c r="C222" i="11"/>
  <c r="D222" i="11" s="1"/>
  <c r="F222" i="11" s="1"/>
  <c r="C220" i="11"/>
  <c r="D220" i="11" s="1"/>
  <c r="E220" i="11" s="1"/>
  <c r="C218" i="11"/>
  <c r="D218" i="11" s="1"/>
  <c r="F218" i="11" s="1"/>
  <c r="C216" i="11"/>
  <c r="D216" i="11" s="1"/>
  <c r="E216" i="11" s="1"/>
  <c r="C214" i="11"/>
  <c r="D214" i="11" s="1"/>
  <c r="E214" i="11" s="1"/>
  <c r="C212" i="11"/>
  <c r="D212" i="11" s="1"/>
  <c r="E212" i="11" s="1"/>
  <c r="C210" i="11"/>
  <c r="D210" i="11" s="1"/>
  <c r="E210" i="11" s="1"/>
  <c r="C208" i="11"/>
  <c r="D208" i="11" s="1"/>
  <c r="E208" i="11" s="1"/>
  <c r="C206" i="11"/>
  <c r="D206" i="11" s="1"/>
  <c r="F206" i="11" s="1"/>
  <c r="C204" i="11"/>
  <c r="D204" i="11" s="1"/>
  <c r="E204" i="11" s="1"/>
  <c r="C202" i="11"/>
  <c r="D202" i="11" s="1"/>
  <c r="F202" i="11" s="1"/>
  <c r="C200" i="11"/>
  <c r="D200" i="11" s="1"/>
  <c r="F200" i="11" s="1"/>
  <c r="C198" i="11"/>
  <c r="D198" i="11" s="1"/>
  <c r="F198" i="11" s="1"/>
  <c r="C196" i="11"/>
  <c r="D196" i="11" s="1"/>
  <c r="F196" i="11" s="1"/>
  <c r="C194" i="11"/>
  <c r="D194" i="11" s="1"/>
  <c r="F194" i="11" s="1"/>
  <c r="C192" i="11"/>
  <c r="D192" i="11" s="1"/>
  <c r="E192" i="11" s="1"/>
  <c r="C190" i="11"/>
  <c r="D190" i="11" s="1"/>
  <c r="F190" i="11" s="1"/>
  <c r="C188" i="11"/>
  <c r="D188" i="11" s="1"/>
  <c r="E188" i="11" s="1"/>
  <c r="C186" i="11"/>
  <c r="D186" i="11" s="1"/>
  <c r="E186" i="11" s="1"/>
  <c r="C184" i="11"/>
  <c r="D184" i="11" s="1"/>
  <c r="E184" i="11" s="1"/>
  <c r="C182" i="11"/>
  <c r="D182" i="11" s="1"/>
  <c r="E182" i="11" s="1"/>
  <c r="C180" i="11"/>
  <c r="D180" i="11" s="1"/>
  <c r="E180" i="11" s="1"/>
  <c r="C178" i="11"/>
  <c r="D178" i="11" s="1"/>
  <c r="E178" i="11" s="1"/>
  <c r="C176" i="11"/>
  <c r="D176" i="11" s="1"/>
  <c r="E176" i="11" s="1"/>
  <c r="C174" i="11"/>
  <c r="D174" i="11" s="1"/>
  <c r="F174" i="11" s="1"/>
  <c r="C172" i="11"/>
  <c r="D172" i="11" s="1"/>
  <c r="F172" i="11" s="1"/>
  <c r="C170" i="11"/>
  <c r="D170" i="11" s="1"/>
  <c r="E170" i="11" s="1"/>
  <c r="C168" i="11"/>
  <c r="D168" i="11" s="1"/>
  <c r="F168" i="11" s="1"/>
  <c r="C166" i="11"/>
  <c r="D166" i="11" s="1"/>
  <c r="E166" i="11" s="1"/>
  <c r="C164" i="11"/>
  <c r="D164" i="11" s="1"/>
  <c r="E164" i="11" s="1"/>
  <c r="C162" i="11"/>
  <c r="D162" i="11" s="1"/>
  <c r="F162" i="11" s="1"/>
  <c r="C160" i="11"/>
  <c r="D160" i="11" s="1"/>
  <c r="E160" i="11" s="1"/>
  <c r="C158" i="11"/>
  <c r="D158" i="11" s="1"/>
  <c r="F158" i="11" s="1"/>
  <c r="C156" i="11"/>
  <c r="D156" i="11" s="1"/>
  <c r="E156" i="11" s="1"/>
  <c r="C154" i="11"/>
  <c r="D154" i="11" s="1"/>
  <c r="F154" i="11" s="1"/>
  <c r="C152" i="11"/>
  <c r="D152" i="11" s="1"/>
  <c r="E152" i="11" s="1"/>
  <c r="C150" i="11"/>
  <c r="D150" i="11" s="1"/>
  <c r="E150" i="11" s="1"/>
  <c r="C148" i="11"/>
  <c r="D148" i="11" s="1"/>
  <c r="F148" i="11" s="1"/>
  <c r="C146" i="11"/>
  <c r="D146" i="11" s="1"/>
  <c r="E146" i="11" s="1"/>
  <c r="C144" i="11"/>
  <c r="D144" i="11" s="1"/>
  <c r="E144" i="11" s="1"/>
  <c r="C142" i="11"/>
  <c r="D142" i="11" s="1"/>
  <c r="F142" i="11" s="1"/>
  <c r="C140" i="11"/>
  <c r="D140" i="11" s="1"/>
  <c r="E140" i="11" s="1"/>
  <c r="C138" i="11"/>
  <c r="D138" i="11" s="1"/>
  <c r="F138" i="11" s="1"/>
  <c r="C136" i="11"/>
  <c r="D136" i="11" s="1"/>
  <c r="F136" i="11" s="1"/>
  <c r="C134" i="11"/>
  <c r="D134" i="11" s="1"/>
  <c r="E134" i="11" s="1"/>
  <c r="C132" i="11"/>
  <c r="D132" i="11" s="1"/>
  <c r="N37" i="11" s="1"/>
  <c r="C130" i="11"/>
  <c r="D130" i="11" s="1"/>
  <c r="F130" i="11" s="1"/>
  <c r="C128" i="11"/>
  <c r="D128" i="11" s="1"/>
  <c r="C126" i="11"/>
  <c r="D126" i="11" s="1"/>
  <c r="F126" i="11" s="1"/>
  <c r="C124" i="11"/>
  <c r="D124" i="11" s="1"/>
  <c r="E124" i="11" s="1"/>
  <c r="C122" i="11"/>
  <c r="D122" i="11" s="1"/>
  <c r="F122" i="11" s="1"/>
  <c r="C120" i="11"/>
  <c r="D120" i="11" s="1"/>
  <c r="F120" i="11" s="1"/>
  <c r="C118" i="11"/>
  <c r="D118" i="11" s="1"/>
  <c r="F118" i="11" s="1"/>
  <c r="C116" i="11"/>
  <c r="D116" i="11" s="1"/>
  <c r="F116" i="11" s="1"/>
  <c r="C114" i="11"/>
  <c r="D114" i="11" s="1"/>
  <c r="E114" i="11" s="1"/>
  <c r="C112" i="11"/>
  <c r="D112" i="11" s="1"/>
  <c r="E112" i="11" s="1"/>
  <c r="C110" i="11"/>
  <c r="D110" i="11" s="1"/>
  <c r="E110" i="11" s="1"/>
  <c r="C108" i="11"/>
  <c r="D108" i="11" s="1"/>
  <c r="E108" i="11" s="1"/>
  <c r="C106" i="11"/>
  <c r="D106" i="11" s="1"/>
  <c r="E106" i="11" s="1"/>
  <c r="C104" i="11"/>
  <c r="D104" i="11" s="1"/>
  <c r="F104" i="11" s="1"/>
  <c r="C102" i="11"/>
  <c r="D102" i="11" s="1"/>
  <c r="E102" i="11" s="1"/>
  <c r="C100" i="11"/>
  <c r="D100" i="11" s="1"/>
  <c r="F100" i="11" s="1"/>
  <c r="C98" i="11"/>
  <c r="D98" i="11" s="1"/>
  <c r="E98" i="11" s="1"/>
  <c r="C96" i="11"/>
  <c r="D96" i="11" s="1"/>
  <c r="F96" i="11" s="1"/>
  <c r="C94" i="11"/>
  <c r="D94" i="11" s="1"/>
  <c r="C92" i="11"/>
  <c r="D92" i="11" s="1"/>
  <c r="E92" i="11" s="1"/>
  <c r="C90" i="11"/>
  <c r="D90" i="11" s="1"/>
  <c r="F90" i="11" s="1"/>
  <c r="C88" i="11"/>
  <c r="D88" i="11" s="1"/>
  <c r="F88" i="11" s="1"/>
  <c r="C86" i="11"/>
  <c r="D86" i="11" s="1"/>
  <c r="C84" i="11"/>
  <c r="D84" i="11" s="1"/>
  <c r="E84" i="11" s="1"/>
  <c r="C82" i="11"/>
  <c r="D82" i="11" s="1"/>
  <c r="F82" i="11" s="1"/>
  <c r="C80" i="11"/>
  <c r="D80" i="11" s="1"/>
  <c r="E80" i="11" s="1"/>
  <c r="C78" i="11"/>
  <c r="D78" i="11" s="1"/>
  <c r="F78" i="11" s="1"/>
  <c r="C76" i="11"/>
  <c r="D76" i="11" s="1"/>
  <c r="E76" i="11" s="1"/>
  <c r="C74" i="11"/>
  <c r="D74" i="11" s="1"/>
  <c r="F74" i="11" s="1"/>
  <c r="C72" i="11"/>
  <c r="D72" i="11" s="1"/>
  <c r="C70" i="11"/>
  <c r="D70" i="11" s="1"/>
  <c r="F70" i="11" s="1"/>
  <c r="C68" i="11"/>
  <c r="D68" i="11" s="1"/>
  <c r="F68" i="11" s="1"/>
  <c r="C66" i="11"/>
  <c r="D66" i="11" s="1"/>
  <c r="E66" i="11" s="1"/>
  <c r="C64" i="11"/>
  <c r="D64" i="11" s="1"/>
  <c r="F64" i="11" s="1"/>
  <c r="C62" i="11"/>
  <c r="D62" i="11" s="1"/>
  <c r="F62" i="11" s="1"/>
  <c r="C60" i="11"/>
  <c r="D60" i="11" s="1"/>
  <c r="E60" i="11" s="1"/>
  <c r="C58" i="11"/>
  <c r="D58" i="11" s="1"/>
  <c r="F58" i="11" s="1"/>
  <c r="C217" i="11"/>
  <c r="D217" i="11" s="1"/>
  <c r="C201" i="11"/>
  <c r="D201" i="11" s="1"/>
  <c r="E201" i="11" s="1"/>
  <c r="C185" i="11"/>
  <c r="D185" i="11" s="1"/>
  <c r="F185" i="11" s="1"/>
  <c r="C169" i="11"/>
  <c r="D169" i="11" s="1"/>
  <c r="F169" i="11" s="1"/>
  <c r="C153" i="11"/>
  <c r="D153" i="11" s="1"/>
  <c r="C137" i="11"/>
  <c r="D137" i="11" s="1"/>
  <c r="E137" i="11" s="1"/>
  <c r="C131" i="11"/>
  <c r="D131" i="11" s="1"/>
  <c r="E131" i="11" s="1"/>
  <c r="C123" i="11"/>
  <c r="D123" i="11" s="1"/>
  <c r="E123" i="11" s="1"/>
  <c r="C115" i="11"/>
  <c r="D115" i="11" s="1"/>
  <c r="E115" i="11" s="1"/>
  <c r="C107" i="11"/>
  <c r="D107" i="11" s="1"/>
  <c r="C99" i="11"/>
  <c r="D99" i="11" s="1"/>
  <c r="C91" i="11"/>
  <c r="D91" i="11" s="1"/>
  <c r="E91" i="11" s="1"/>
  <c r="C83" i="11"/>
  <c r="D83" i="11" s="1"/>
  <c r="C75" i="11"/>
  <c r="D75" i="11" s="1"/>
  <c r="F75" i="11" s="1"/>
  <c r="C67" i="11"/>
  <c r="D67" i="11" s="1"/>
  <c r="F67" i="11" s="1"/>
  <c r="C59" i="11"/>
  <c r="D59" i="11" s="1"/>
  <c r="C213" i="11"/>
  <c r="D213" i="11" s="1"/>
  <c r="F213" i="11" s="1"/>
  <c r="C197" i="11"/>
  <c r="D197" i="11" s="1"/>
  <c r="F197" i="11" s="1"/>
  <c r="C181" i="11"/>
  <c r="D181" i="11" s="1"/>
  <c r="F181" i="11" s="1"/>
  <c r="C165" i="11"/>
  <c r="D165" i="11" s="1"/>
  <c r="E165" i="11" s="1"/>
  <c r="C149" i="11"/>
  <c r="D149" i="11" s="1"/>
  <c r="F149" i="11" s="1"/>
  <c r="C133" i="11"/>
  <c r="D133" i="11" s="1"/>
  <c r="F133" i="11" s="1"/>
  <c r="C125" i="11"/>
  <c r="D125" i="11" s="1"/>
  <c r="F125" i="11" s="1"/>
  <c r="C117" i="11"/>
  <c r="D117" i="11" s="1"/>
  <c r="F117" i="11" s="1"/>
  <c r="C109" i="11"/>
  <c r="D109" i="11" s="1"/>
  <c r="E109" i="11" s="1"/>
  <c r="C101" i="11"/>
  <c r="D101" i="11" s="1"/>
  <c r="E101" i="11" s="1"/>
  <c r="C93" i="11"/>
  <c r="D93" i="11" s="1"/>
  <c r="F93" i="11" s="1"/>
  <c r="C85" i="11"/>
  <c r="D85" i="11" s="1"/>
  <c r="F85" i="11" s="1"/>
  <c r="C77" i="11"/>
  <c r="D77" i="11" s="1"/>
  <c r="F77" i="11" s="1"/>
  <c r="C69" i="11"/>
  <c r="D69" i="11" s="1"/>
  <c r="F69" i="11" s="1"/>
  <c r="C61" i="11"/>
  <c r="D61" i="11" s="1"/>
  <c r="F61" i="11" s="1"/>
  <c r="C56" i="11"/>
  <c r="D56" i="11" s="1"/>
  <c r="F56" i="11" s="1"/>
  <c r="C54" i="11"/>
  <c r="D54" i="11" s="1"/>
  <c r="F54" i="11" s="1"/>
  <c r="C52" i="11"/>
  <c r="D52" i="11" s="1"/>
  <c r="F52" i="11" s="1"/>
  <c r="C50" i="11"/>
  <c r="D50" i="11" s="1"/>
  <c r="F50" i="11" s="1"/>
  <c r="C48" i="11"/>
  <c r="D48" i="11" s="1"/>
  <c r="F48" i="11" s="1"/>
  <c r="C46" i="11"/>
  <c r="D46" i="11" s="1"/>
  <c r="F46" i="11" s="1"/>
  <c r="C127" i="11"/>
  <c r="D127" i="11" s="1"/>
  <c r="F127" i="11" s="1"/>
  <c r="C219" i="11"/>
  <c r="D219" i="11" s="1"/>
  <c r="E219" i="11" s="1"/>
  <c r="C203" i="11"/>
  <c r="D203" i="11" s="1"/>
  <c r="E203" i="11" s="1"/>
  <c r="C187" i="11"/>
  <c r="D187" i="11" s="1"/>
  <c r="E187" i="11" s="1"/>
  <c r="C171" i="11"/>
  <c r="D171" i="11" s="1"/>
  <c r="E171" i="11" s="1"/>
  <c r="C155" i="11"/>
  <c r="D155" i="11" s="1"/>
  <c r="E155" i="11" s="1"/>
  <c r="C139" i="11"/>
  <c r="D139" i="11" s="1"/>
  <c r="E139" i="11" s="1"/>
  <c r="C225" i="11"/>
  <c r="D225" i="11" s="1"/>
  <c r="C209" i="11"/>
  <c r="D209" i="11" s="1"/>
  <c r="F209" i="11" s="1"/>
  <c r="C193" i="11"/>
  <c r="D193" i="11" s="1"/>
  <c r="F193" i="11" s="1"/>
  <c r="C177" i="11"/>
  <c r="D177" i="11" s="1"/>
  <c r="F177" i="11" s="1"/>
  <c r="C161" i="11"/>
  <c r="D161" i="11" s="1"/>
  <c r="E161" i="11" s="1"/>
  <c r="C145" i="11"/>
  <c r="D145" i="11" s="1"/>
  <c r="F145" i="11" s="1"/>
  <c r="C119" i="11"/>
  <c r="D119" i="11" s="1"/>
  <c r="F119" i="11" s="1"/>
  <c r="C207" i="11"/>
  <c r="D207" i="11" s="1"/>
  <c r="E207" i="11" s="1"/>
  <c r="C175" i="11"/>
  <c r="D175" i="11" s="1"/>
  <c r="C143" i="11"/>
  <c r="D143" i="11" s="1"/>
  <c r="F143" i="11" s="1"/>
  <c r="C89" i="11"/>
  <c r="D89" i="11" s="1"/>
  <c r="E89" i="11" s="1"/>
  <c r="C63" i="11"/>
  <c r="D63" i="11" s="1"/>
  <c r="F63" i="11" s="1"/>
  <c r="C49" i="11"/>
  <c r="D49" i="11" s="1"/>
  <c r="E49" i="11" s="1"/>
  <c r="C199" i="11"/>
  <c r="D199" i="11" s="1"/>
  <c r="F199" i="11" s="1"/>
  <c r="C167" i="11"/>
  <c r="D167" i="11" s="1"/>
  <c r="F167" i="11" s="1"/>
  <c r="C135" i="11"/>
  <c r="D135" i="11" s="1"/>
  <c r="F135" i="11" s="1"/>
  <c r="C97" i="11"/>
  <c r="D97" i="11" s="1"/>
  <c r="E97" i="11" s="1"/>
  <c r="C71" i="11"/>
  <c r="D71" i="11" s="1"/>
  <c r="E71" i="11" s="1"/>
  <c r="C55" i="11"/>
  <c r="D55" i="11" s="1"/>
  <c r="E55" i="11" s="1"/>
  <c r="C205" i="11"/>
  <c r="D205" i="11" s="1"/>
  <c r="F205" i="11" s="1"/>
  <c r="C173" i="11"/>
  <c r="D173" i="11" s="1"/>
  <c r="E173" i="11" s="1"/>
  <c r="C141" i="11"/>
  <c r="D141" i="11" s="1"/>
  <c r="E141" i="11" s="1"/>
  <c r="C129" i="11"/>
  <c r="D129" i="11" s="1"/>
  <c r="E129" i="11" s="1"/>
  <c r="C105" i="11"/>
  <c r="D105" i="11" s="1"/>
  <c r="E105" i="11" s="1"/>
  <c r="C79" i="11"/>
  <c r="D79" i="11" s="1"/>
  <c r="E79" i="11" s="1"/>
  <c r="C211" i="11"/>
  <c r="D211" i="11" s="1"/>
  <c r="F211" i="11" s="1"/>
  <c r="C179" i="11"/>
  <c r="D179" i="11" s="1"/>
  <c r="C53" i="11"/>
  <c r="D53" i="11" s="1"/>
  <c r="E53" i="11" s="1"/>
  <c r="C65" i="11"/>
  <c r="D65" i="11" s="1"/>
  <c r="E65" i="11" s="1"/>
  <c r="F72" i="11"/>
  <c r="F106" i="11"/>
  <c r="C121" i="11"/>
  <c r="D121" i="11" s="1"/>
  <c r="F121" i="11" s="1"/>
  <c r="F128" i="11"/>
  <c r="C223" i="11"/>
  <c r="D223" i="11" s="1"/>
  <c r="F223" i="11" s="1"/>
  <c r="F224" i="11"/>
  <c r="F208" i="11"/>
  <c r="F192" i="11"/>
  <c r="F178" i="11"/>
  <c r="F176" i="11"/>
  <c r="F160" i="11"/>
  <c r="F144" i="11"/>
  <c r="F140" i="11"/>
  <c r="E213" i="11"/>
  <c r="E197" i="11"/>
  <c r="F171" i="11"/>
  <c r="E128" i="11"/>
  <c r="E120" i="11"/>
  <c r="E104" i="11"/>
  <c r="E96" i="11"/>
  <c r="E88" i="11"/>
  <c r="E72" i="11"/>
  <c r="E64" i="11"/>
  <c r="E54" i="11"/>
  <c r="E46" i="11"/>
  <c r="E225" i="11"/>
  <c r="E174" i="11"/>
  <c r="E130" i="11"/>
  <c r="F147" i="11"/>
  <c r="E138" i="11"/>
  <c r="E116" i="11"/>
  <c r="E215" i="11"/>
  <c r="F189" i="11"/>
  <c r="F173" i="11"/>
  <c r="E151" i="11"/>
  <c r="F113" i="11"/>
  <c r="F81" i="11"/>
  <c r="F73" i="11"/>
  <c r="F65" i="11"/>
  <c r="F51" i="11"/>
  <c r="F49" i="11"/>
  <c r="E189" i="11"/>
  <c r="F179" i="11"/>
  <c r="E83" i="11"/>
  <c r="E153" i="11"/>
  <c r="F159" i="11"/>
  <c r="E217" i="11"/>
  <c r="F83" i="11"/>
  <c r="F109" i="11"/>
  <c r="E113" i="11"/>
  <c r="E147" i="11"/>
  <c r="F153" i="11"/>
  <c r="E179" i="11"/>
  <c r="F217" i="11"/>
  <c r="E224" i="11"/>
  <c r="F80" i="11"/>
  <c r="E136" i="11"/>
  <c r="F161" i="11"/>
  <c r="E168" i="11"/>
  <c r="E200" i="11"/>
  <c r="F225" i="11"/>
  <c r="B26" i="2"/>
  <c r="J26" i="2" s="1"/>
  <c r="B6" i="2"/>
  <c r="F105" i="11" l="1"/>
  <c r="E202" i="11"/>
  <c r="E177" i="11"/>
  <c r="E218" i="11"/>
  <c r="E135" i="11"/>
  <c r="E154" i="11"/>
  <c r="E117" i="11"/>
  <c r="F210" i="11"/>
  <c r="E90" i="11"/>
  <c r="F146" i="11"/>
  <c r="E82" i="11"/>
  <c r="E122" i="11"/>
  <c r="E194" i="11"/>
  <c r="F183" i="11"/>
  <c r="F123" i="11"/>
  <c r="F141" i="11"/>
  <c r="E111" i="11"/>
  <c r="F203" i="11"/>
  <c r="F170" i="11"/>
  <c r="F101" i="11"/>
  <c r="E118" i="11"/>
  <c r="E58" i="11"/>
  <c r="E56" i="11"/>
  <c r="F186" i="11"/>
  <c r="E74" i="11"/>
  <c r="F139" i="11"/>
  <c r="F124" i="11"/>
  <c r="E57" i="11"/>
  <c r="E125" i="11"/>
  <c r="F219" i="11"/>
  <c r="F204" i="11"/>
  <c r="F92" i="11"/>
  <c r="E172" i="11"/>
  <c r="E198" i="11"/>
  <c r="F60" i="11"/>
  <c r="F108" i="11"/>
  <c r="E193" i="11"/>
  <c r="E85" i="11"/>
  <c r="E67" i="11"/>
  <c r="F76" i="11"/>
  <c r="E121" i="11"/>
  <c r="E145" i="11"/>
  <c r="F220" i="11"/>
  <c r="E87" i="11"/>
  <c r="F188" i="11"/>
  <c r="F89" i="11"/>
  <c r="E61" i="11"/>
  <c r="F156" i="11"/>
  <c r="F66" i="11"/>
  <c r="F195" i="11"/>
  <c r="F163" i="11"/>
  <c r="E127" i="11"/>
  <c r="E48" i="11"/>
  <c r="E133" i="11"/>
  <c r="F131" i="11"/>
  <c r="E95" i="11"/>
  <c r="E190" i="11"/>
  <c r="F165" i="11"/>
  <c r="E62" i="11"/>
  <c r="F98" i="11"/>
  <c r="F79" i="11"/>
  <c r="E142" i="11"/>
  <c r="E162" i="11"/>
  <c r="E169" i="11"/>
  <c r="E126" i="11"/>
  <c r="E209" i="11"/>
  <c r="F129" i="11"/>
  <c r="E75" i="11"/>
  <c r="F114" i="11"/>
  <c r="F91" i="11"/>
  <c r="F53" i="11"/>
  <c r="F97" i="11"/>
  <c r="E69" i="11"/>
  <c r="E226" i="11"/>
  <c r="F137" i="11"/>
  <c r="E167" i="11"/>
  <c r="E107" i="11"/>
  <c r="F107" i="11"/>
  <c r="E86" i="11"/>
  <c r="F86" i="11"/>
  <c r="E143" i="11"/>
  <c r="E68" i="11"/>
  <c r="E100" i="11"/>
  <c r="F84" i="11"/>
  <c r="E196" i="11"/>
  <c r="E132" i="11"/>
  <c r="F164" i="11"/>
  <c r="F71" i="11"/>
  <c r="F110" i="11"/>
  <c r="E211" i="11"/>
  <c r="E205" i="11"/>
  <c r="F157" i="11"/>
  <c r="E199" i="11"/>
  <c r="E221" i="11"/>
  <c r="E119" i="11"/>
  <c r="E158" i="11"/>
  <c r="E50" i="11"/>
  <c r="E77" i="11"/>
  <c r="F187" i="11"/>
  <c r="F134" i="11"/>
  <c r="F150" i="11"/>
  <c r="F166" i="11"/>
  <c r="F182" i="11"/>
  <c r="F214" i="11"/>
  <c r="F112" i="11"/>
  <c r="F59" i="11"/>
  <c r="E59" i="11"/>
  <c r="F207" i="11"/>
  <c r="F201" i="11"/>
  <c r="E148" i="11"/>
  <c r="F191" i="11"/>
  <c r="F55" i="11"/>
  <c r="E181" i="11"/>
  <c r="F180" i="11"/>
  <c r="F212" i="11"/>
  <c r="E223" i="11"/>
  <c r="F103" i="11"/>
  <c r="E185" i="11"/>
  <c r="E206" i="11"/>
  <c r="E52" i="11"/>
  <c r="E149" i="11"/>
  <c r="F152" i="11"/>
  <c r="F184" i="11"/>
  <c r="F216" i="11"/>
  <c r="E70" i="11"/>
  <c r="E63" i="11"/>
  <c r="F155" i="11"/>
  <c r="E94" i="11"/>
  <c r="F94" i="11"/>
  <c r="F99" i="11"/>
  <c r="E99" i="11"/>
  <c r="F47" i="11"/>
  <c r="F132" i="11"/>
  <c r="F175" i="11"/>
  <c r="E175" i="11"/>
  <c r="F115" i="11"/>
  <c r="E222" i="11"/>
  <c r="E93" i="11"/>
  <c r="E78" i="11"/>
  <c r="F102" i="11"/>
  <c r="B21" i="10"/>
  <c r="B20" i="10"/>
  <c r="B12" i="10"/>
  <c r="B11" i="10"/>
  <c r="B10" i="10"/>
  <c r="B6" i="10"/>
  <c r="B1" i="10"/>
  <c r="N19" i="11" l="1"/>
  <c r="N24" i="11" s="1"/>
  <c r="N29" i="11" l="1"/>
  <c r="N35" i="11" s="1"/>
  <c r="N28" i="11"/>
  <c r="N25" i="11"/>
  <c r="N30" i="11" l="1"/>
  <c r="N31" i="11" s="1"/>
  <c r="R26" i="11" s="1"/>
  <c r="S26" i="11" s="1"/>
  <c r="R27" i="11"/>
  <c r="R28" i="11" s="1"/>
  <c r="N38" i="11"/>
  <c r="N36" i="11"/>
  <c r="N39" i="11" s="1"/>
  <c r="N26" i="11"/>
  <c r="B23" i="10" l="1"/>
  <c r="C73" i="3"/>
  <c r="D73" i="3" s="1"/>
  <c r="C82" i="3"/>
  <c r="D82" i="3" s="1"/>
  <c r="C89" i="3"/>
  <c r="D89" i="3" s="1"/>
  <c r="C98" i="3"/>
  <c r="D98" i="3" s="1"/>
  <c r="C105" i="3"/>
  <c r="D105" i="3" s="1"/>
  <c r="C114" i="3"/>
  <c r="D114" i="3" s="1"/>
  <c r="C78" i="3"/>
  <c r="D78" i="3" s="1"/>
  <c r="C91" i="3"/>
  <c r="D91" i="3" s="1"/>
  <c r="C99" i="3"/>
  <c r="D99" i="3" s="1"/>
  <c r="C104" i="3"/>
  <c r="D104" i="3" s="1"/>
  <c r="C112" i="3"/>
  <c r="D112" i="3" s="1"/>
  <c r="C122" i="3"/>
  <c r="D122" i="3" s="1"/>
  <c r="C130" i="3"/>
  <c r="D130" i="3" s="1"/>
  <c r="C139" i="3"/>
  <c r="D139" i="3" s="1"/>
  <c r="C146" i="3"/>
  <c r="D146" i="3" s="1"/>
  <c r="C155" i="3"/>
  <c r="D155" i="3" s="1"/>
  <c r="C162" i="3"/>
  <c r="D162" i="3" s="1"/>
  <c r="C171" i="3"/>
  <c r="D171" i="3" s="1"/>
  <c r="C178" i="3"/>
  <c r="D178" i="3" s="1"/>
  <c r="C187" i="3"/>
  <c r="D187" i="3" s="1"/>
  <c r="C81" i="3"/>
  <c r="D81" i="3" s="1"/>
  <c r="C79" i="3"/>
  <c r="D79" i="3" s="1"/>
  <c r="C84" i="3"/>
  <c r="D84" i="3" s="1"/>
  <c r="C87" i="3"/>
  <c r="D87" i="3" s="1"/>
  <c r="C92" i="3"/>
  <c r="D92" i="3" s="1"/>
  <c r="C113" i="3"/>
  <c r="D113" i="3" s="1"/>
  <c r="C118" i="3"/>
  <c r="D118" i="3" s="1"/>
  <c r="C123" i="3"/>
  <c r="D123" i="3" s="1"/>
  <c r="C133" i="3"/>
  <c r="D133" i="3" s="1"/>
  <c r="C140" i="3"/>
  <c r="D140" i="3" s="1"/>
  <c r="C149" i="3"/>
  <c r="D149" i="3" s="1"/>
  <c r="C156" i="3"/>
  <c r="D156" i="3" s="1"/>
  <c r="C165" i="3"/>
  <c r="D165" i="3" s="1"/>
  <c r="C172" i="3"/>
  <c r="D172" i="3" s="1"/>
  <c r="C181" i="3"/>
  <c r="D181" i="3" s="1"/>
  <c r="C188" i="3"/>
  <c r="D188" i="3" s="1"/>
  <c r="C170" i="3"/>
  <c r="D170" i="3" s="1"/>
  <c r="C179" i="3"/>
  <c r="D179" i="3" s="1"/>
  <c r="C77" i="3"/>
  <c r="D77" i="3" s="1"/>
  <c r="C85" i="3"/>
  <c r="D85" i="3" s="1"/>
  <c r="C90" i="3"/>
  <c r="D90" i="3" s="1"/>
  <c r="C111" i="3"/>
  <c r="D111" i="3" s="1"/>
  <c r="C74" i="3"/>
  <c r="D74" i="3" s="1"/>
  <c r="C95" i="3"/>
  <c r="D95" i="3" s="1"/>
  <c r="C100" i="3"/>
  <c r="D100" i="3" s="1"/>
  <c r="C103" i="3"/>
  <c r="D103" i="3" s="1"/>
  <c r="C108" i="3"/>
  <c r="D108" i="3" s="1"/>
  <c r="C121" i="3"/>
  <c r="D121" i="3" s="1"/>
  <c r="C131" i="3"/>
  <c r="D131" i="3" s="1"/>
  <c r="C138" i="3"/>
  <c r="D138" i="3" s="1"/>
  <c r="C147" i="3"/>
  <c r="D147" i="3" s="1"/>
  <c r="C154" i="3"/>
  <c r="D154" i="3" s="1"/>
  <c r="C163" i="3"/>
  <c r="D163" i="3" s="1"/>
  <c r="C186" i="3"/>
  <c r="D186" i="3" s="1"/>
  <c r="C94" i="3"/>
  <c r="D94" i="3" s="1"/>
  <c r="C119" i="3"/>
  <c r="D119" i="3" s="1"/>
  <c r="C127" i="3"/>
  <c r="D127" i="3" s="1"/>
  <c r="C160" i="3"/>
  <c r="D160" i="3" s="1"/>
  <c r="C167" i="3"/>
  <c r="D167" i="3" s="1"/>
  <c r="C182" i="3"/>
  <c r="D182" i="3" s="1"/>
  <c r="C189" i="3"/>
  <c r="D189" i="3" s="1"/>
  <c r="C193" i="3"/>
  <c r="D193" i="3" s="1"/>
  <c r="C115" i="3"/>
  <c r="D115" i="3" s="1"/>
  <c r="C142" i="3"/>
  <c r="D142" i="3" s="1"/>
  <c r="C153" i="3"/>
  <c r="D153" i="3" s="1"/>
  <c r="C164" i="3"/>
  <c r="D164" i="3" s="1"/>
  <c r="C80" i="3"/>
  <c r="D80" i="3" s="1"/>
  <c r="C132" i="3"/>
  <c r="D132" i="3" s="1"/>
  <c r="C143" i="3"/>
  <c r="D143" i="3" s="1"/>
  <c r="C86" i="3"/>
  <c r="D86" i="3" s="1"/>
  <c r="C107" i="3"/>
  <c r="D107" i="3" s="1"/>
  <c r="C124" i="3"/>
  <c r="D124" i="3" s="1"/>
  <c r="C129" i="3"/>
  <c r="D129" i="3" s="1"/>
  <c r="C158" i="3"/>
  <c r="D158" i="3" s="1"/>
  <c r="C169" i="3"/>
  <c r="D169" i="3" s="1"/>
  <c r="C180" i="3"/>
  <c r="D180" i="3" s="1"/>
  <c r="C173" i="3"/>
  <c r="D173" i="3" s="1"/>
  <c r="C174" i="3"/>
  <c r="D174" i="3" s="1"/>
  <c r="C110" i="3"/>
  <c r="D110" i="3" s="1"/>
  <c r="C168" i="3"/>
  <c r="D168" i="3" s="1"/>
  <c r="C175" i="3"/>
  <c r="D175" i="3" s="1"/>
  <c r="C96" i="3"/>
  <c r="D96" i="3" s="1"/>
  <c r="C116" i="3"/>
  <c r="D116" i="3" s="1"/>
  <c r="C136" i="3"/>
  <c r="D136" i="3" s="1"/>
  <c r="C176" i="3"/>
  <c r="D176" i="3" s="1"/>
  <c r="C184" i="3"/>
  <c r="D184" i="3" s="1"/>
  <c r="C126" i="3"/>
  <c r="D126" i="3" s="1"/>
  <c r="C148" i="3"/>
  <c r="D148" i="3" s="1"/>
  <c r="C192" i="3"/>
  <c r="D192" i="3" s="1"/>
  <c r="C83" i="3"/>
  <c r="D83" i="3" s="1"/>
  <c r="C109" i="3"/>
  <c r="D109" i="3" s="1"/>
  <c r="C141" i="3"/>
  <c r="D141" i="3" s="1"/>
  <c r="C72" i="3"/>
  <c r="D72" i="3" s="1"/>
  <c r="C101" i="3"/>
  <c r="D101" i="3" s="1"/>
  <c r="C106" i="3"/>
  <c r="D106" i="3" s="1"/>
  <c r="C128" i="3"/>
  <c r="D128" i="3" s="1"/>
  <c r="C135" i="3"/>
  <c r="D135" i="3" s="1"/>
  <c r="C150" i="3"/>
  <c r="D150" i="3" s="1"/>
  <c r="C157" i="3"/>
  <c r="D157" i="3" s="1"/>
  <c r="C161" i="3"/>
  <c r="D161" i="3" s="1"/>
  <c r="C190" i="3"/>
  <c r="D190" i="3" s="1"/>
  <c r="C120" i="3"/>
  <c r="D120" i="3" s="1"/>
  <c r="C183" i="3"/>
  <c r="D183" i="3" s="1"/>
  <c r="C191" i="3"/>
  <c r="D191" i="3" s="1"/>
  <c r="C97" i="3"/>
  <c r="D97" i="3" s="1"/>
  <c r="C102" i="3"/>
  <c r="D102" i="3" s="1"/>
  <c r="C117" i="3"/>
  <c r="D117" i="3" s="1"/>
  <c r="C144" i="3"/>
  <c r="D144" i="3" s="1"/>
  <c r="C151" i="3"/>
  <c r="D151" i="3" s="1"/>
  <c r="C166" i="3"/>
  <c r="D166" i="3" s="1"/>
  <c r="C177" i="3"/>
  <c r="D177" i="3" s="1"/>
  <c r="C75" i="3"/>
  <c r="D75" i="3" s="1"/>
  <c r="C93" i="3"/>
  <c r="D93" i="3" s="1"/>
  <c r="C137" i="3"/>
  <c r="D137" i="3" s="1"/>
  <c r="C152" i="3"/>
  <c r="D152" i="3" s="1"/>
  <c r="C159" i="3"/>
  <c r="D159" i="3" s="1"/>
  <c r="C76" i="3"/>
  <c r="D76" i="3" s="1"/>
  <c r="C88" i="3"/>
  <c r="D88" i="3" s="1"/>
  <c r="C134" i="3"/>
  <c r="D134" i="3" s="1"/>
  <c r="C145" i="3"/>
  <c r="D145" i="3" s="1"/>
  <c r="C185" i="3"/>
  <c r="D185" i="3" s="1"/>
  <c r="U28" i="11"/>
  <c r="S28" i="11"/>
  <c r="U27" i="11"/>
  <c r="S27" i="11"/>
  <c r="R29" i="11"/>
  <c r="N27" i="11"/>
  <c r="R30" i="11" l="1"/>
  <c r="U29" i="11"/>
  <c r="S29" i="11"/>
  <c r="I35" i="6"/>
  <c r="U30" i="11" l="1"/>
  <c r="S30" i="11"/>
  <c r="E41" i="9"/>
  <c r="G41" i="9"/>
  <c r="C41" i="9"/>
  <c r="C34" i="9" l="1"/>
  <c r="D34" i="9"/>
  <c r="E34" i="9"/>
  <c r="F34" i="9"/>
  <c r="G34" i="9"/>
  <c r="D40" i="9"/>
  <c r="D41" i="9" s="1"/>
  <c r="F40" i="9"/>
  <c r="F41" i="9" s="1"/>
  <c r="M31" i="6" l="1"/>
  <c r="N31" i="6" s="1"/>
  <c r="O31" i="6" s="1"/>
  <c r="P31" i="6" s="1"/>
  <c r="M30" i="6"/>
  <c r="N30" i="6" s="1"/>
  <c r="O30" i="6" s="1"/>
  <c r="P30" i="6" s="1"/>
  <c r="M29" i="6"/>
  <c r="N29" i="6" s="1"/>
  <c r="O29" i="6" s="1"/>
  <c r="P29" i="6" s="1"/>
  <c r="M28" i="6"/>
  <c r="N28" i="6" s="1"/>
  <c r="O28" i="6" s="1"/>
  <c r="P28" i="6" s="1"/>
  <c r="M27" i="6"/>
  <c r="N27" i="6" s="1"/>
  <c r="O27" i="6" s="1"/>
  <c r="P27" i="6" s="1"/>
  <c r="M26" i="6"/>
  <c r="N26" i="6" s="1"/>
  <c r="O26" i="6" s="1"/>
  <c r="P26" i="6" s="1"/>
  <c r="M25" i="6"/>
  <c r="N25" i="6" s="1"/>
  <c r="O25" i="6" s="1"/>
  <c r="P25" i="6" s="1"/>
  <c r="M24" i="6"/>
  <c r="N24" i="6" s="1"/>
  <c r="O24" i="6" s="1"/>
  <c r="P24" i="6" s="1"/>
  <c r="M23" i="6"/>
  <c r="N23" i="6" s="1"/>
  <c r="O23" i="6" s="1"/>
  <c r="P23" i="6" s="1"/>
  <c r="M22" i="6"/>
  <c r="N22" i="6" s="1"/>
  <c r="O22" i="6" s="1"/>
  <c r="P22" i="6" s="1"/>
  <c r="M21" i="6"/>
  <c r="N21" i="6" s="1"/>
  <c r="O21" i="6" s="1"/>
  <c r="P21" i="6" s="1"/>
  <c r="M20" i="6"/>
  <c r="N20" i="6" s="1"/>
  <c r="O20" i="6" s="1"/>
  <c r="P20" i="6" s="1"/>
  <c r="M19" i="6"/>
  <c r="N19" i="6" s="1"/>
  <c r="O19" i="6" s="1"/>
  <c r="P19" i="6" s="1"/>
  <c r="M3" i="6"/>
  <c r="N3" i="6" s="1"/>
  <c r="O3" i="6" s="1"/>
  <c r="P3" i="6" s="1"/>
  <c r="M4" i="6"/>
  <c r="N4" i="6" s="1"/>
  <c r="O4" i="6" s="1"/>
  <c r="P4" i="6" s="1"/>
  <c r="M5" i="6"/>
  <c r="N5" i="6" s="1"/>
  <c r="O5" i="6" s="1"/>
  <c r="P5" i="6" s="1"/>
  <c r="M6" i="6"/>
  <c r="N6" i="6" s="1"/>
  <c r="O6" i="6" s="1"/>
  <c r="P6" i="6" s="1"/>
  <c r="M7" i="6"/>
  <c r="N7" i="6" s="1"/>
  <c r="O7" i="6" s="1"/>
  <c r="P7" i="6" s="1"/>
  <c r="M8" i="6"/>
  <c r="N8" i="6" s="1"/>
  <c r="O8" i="6" s="1"/>
  <c r="P8" i="6" s="1"/>
  <c r="M9" i="6"/>
  <c r="N9" i="6" s="1"/>
  <c r="O9" i="6" s="1"/>
  <c r="P9" i="6" s="1"/>
  <c r="M10" i="6"/>
  <c r="N10" i="6" s="1"/>
  <c r="O10" i="6" s="1"/>
  <c r="P10" i="6" s="1"/>
  <c r="M11" i="6"/>
  <c r="N11" i="6" s="1"/>
  <c r="O11" i="6" s="1"/>
  <c r="P11" i="6" s="1"/>
  <c r="M12" i="6"/>
  <c r="N12" i="6" s="1"/>
  <c r="O12" i="6" s="1"/>
  <c r="P12" i="6" s="1"/>
  <c r="M13" i="6"/>
  <c r="N13" i="6" s="1"/>
  <c r="O13" i="6" s="1"/>
  <c r="P13" i="6" s="1"/>
  <c r="M14" i="6"/>
  <c r="N14" i="6" s="1"/>
  <c r="O14" i="6" s="1"/>
  <c r="P14" i="6" s="1"/>
  <c r="M15" i="6"/>
  <c r="N15" i="6" s="1"/>
  <c r="O15" i="6" s="1"/>
  <c r="P15" i="6" s="1"/>
  <c r="M16" i="6"/>
  <c r="N16" i="6" s="1"/>
  <c r="O16" i="6" s="1"/>
  <c r="P16" i="6" s="1"/>
  <c r="M17" i="6"/>
  <c r="N17" i="6" s="1"/>
  <c r="O17" i="6" s="1"/>
  <c r="P17" i="6" s="1"/>
  <c r="M18" i="6"/>
  <c r="N18" i="6" s="1"/>
  <c r="O18" i="6" s="1"/>
  <c r="P18" i="6" s="1"/>
  <c r="B22" i="10" l="1"/>
  <c r="B4" i="10"/>
  <c r="B20" i="4"/>
  <c r="B1" i="4" l="1"/>
  <c r="B27" i="4"/>
  <c r="B25" i="4" l="1"/>
  <c r="B29" i="4" l="1"/>
  <c r="B26" i="4"/>
  <c r="B24" i="4"/>
  <c r="B23" i="4"/>
  <c r="B13" i="4"/>
  <c r="B12" i="4"/>
  <c r="B14" i="4"/>
  <c r="B14" i="2"/>
  <c r="B8" i="4"/>
  <c r="C38" i="3"/>
  <c r="H23" i="3" s="1"/>
  <c r="H21" i="3" s="1"/>
  <c r="C243" i="3"/>
  <c r="D243" i="3" s="1"/>
  <c r="C39" i="3" l="1"/>
  <c r="F118" i="3" s="1"/>
  <c r="F149" i="3"/>
  <c r="E134" i="3"/>
  <c r="E192" i="3"/>
  <c r="F109" i="3"/>
  <c r="E130" i="3"/>
  <c r="E184" i="3"/>
  <c r="F190" i="3"/>
  <c r="E162" i="3"/>
  <c r="E164" i="3"/>
  <c r="F74" i="3"/>
  <c r="E107" i="3"/>
  <c r="F108" i="3"/>
  <c r="F180" i="3"/>
  <c r="F117" i="3"/>
  <c r="B4" i="4"/>
  <c r="B3" i="10"/>
  <c r="C227" i="3"/>
  <c r="D227" i="3" s="1"/>
  <c r="C215" i="3"/>
  <c r="D215" i="3" s="1"/>
  <c r="E215" i="3" s="1"/>
  <c r="C252" i="3"/>
  <c r="D252" i="3" s="1"/>
  <c r="E252" i="3" s="1"/>
  <c r="C250" i="3"/>
  <c r="D250" i="3" s="1"/>
  <c r="E250" i="3" s="1"/>
  <c r="C248" i="3"/>
  <c r="D248" i="3" s="1"/>
  <c r="F248" i="3" s="1"/>
  <c r="C246" i="3"/>
  <c r="D246" i="3" s="1"/>
  <c r="C244" i="3"/>
  <c r="D244" i="3" s="1"/>
  <c r="E244" i="3" s="1"/>
  <c r="C242" i="3"/>
  <c r="D242" i="3" s="1"/>
  <c r="F242" i="3" s="1"/>
  <c r="C240" i="3"/>
  <c r="D240" i="3" s="1"/>
  <c r="F240" i="3" s="1"/>
  <c r="C238" i="3"/>
  <c r="D238" i="3" s="1"/>
  <c r="E238" i="3" s="1"/>
  <c r="C236" i="3"/>
  <c r="D236" i="3" s="1"/>
  <c r="F236" i="3" s="1"/>
  <c r="C234" i="3"/>
  <c r="D234" i="3" s="1"/>
  <c r="E234" i="3" s="1"/>
  <c r="C232" i="3"/>
  <c r="D232" i="3" s="1"/>
  <c r="E232" i="3" s="1"/>
  <c r="C230" i="3"/>
  <c r="D230" i="3" s="1"/>
  <c r="F230" i="3" s="1"/>
  <c r="C228" i="3"/>
  <c r="D228" i="3" s="1"/>
  <c r="F228" i="3" s="1"/>
  <c r="C226" i="3"/>
  <c r="D226" i="3" s="1"/>
  <c r="E226" i="3" s="1"/>
  <c r="C224" i="3"/>
  <c r="D224" i="3" s="1"/>
  <c r="F224" i="3" s="1"/>
  <c r="C222" i="3"/>
  <c r="D222" i="3" s="1"/>
  <c r="F222" i="3" s="1"/>
  <c r="C220" i="3"/>
  <c r="D220" i="3" s="1"/>
  <c r="E220" i="3" s="1"/>
  <c r="C218" i="3"/>
  <c r="D218" i="3" s="1"/>
  <c r="E218" i="3" s="1"/>
  <c r="C216" i="3"/>
  <c r="D216" i="3" s="1"/>
  <c r="E216" i="3" s="1"/>
  <c r="C214" i="3"/>
  <c r="D214" i="3" s="1"/>
  <c r="E214" i="3" s="1"/>
  <c r="C212" i="3"/>
  <c r="D212" i="3" s="1"/>
  <c r="E212" i="3" s="1"/>
  <c r="C210" i="3"/>
  <c r="D210" i="3" s="1"/>
  <c r="E210" i="3" s="1"/>
  <c r="C208" i="3"/>
  <c r="D208" i="3" s="1"/>
  <c r="E208" i="3" s="1"/>
  <c r="C206" i="3"/>
  <c r="D206" i="3" s="1"/>
  <c r="E206" i="3" s="1"/>
  <c r="C204" i="3"/>
  <c r="D204" i="3" s="1"/>
  <c r="F204" i="3" s="1"/>
  <c r="C202" i="3"/>
  <c r="D202" i="3" s="1"/>
  <c r="F202" i="3" s="1"/>
  <c r="C200" i="3"/>
  <c r="D200" i="3" s="1"/>
  <c r="F200" i="3" s="1"/>
  <c r="C198" i="3"/>
  <c r="D198" i="3" s="1"/>
  <c r="E198" i="3" s="1"/>
  <c r="C196" i="3"/>
  <c r="D196" i="3" s="1"/>
  <c r="E196" i="3" s="1"/>
  <c r="C194" i="3"/>
  <c r="D194" i="3" s="1"/>
  <c r="E194" i="3" s="1"/>
  <c r="C237" i="3"/>
  <c r="D237" i="3" s="1"/>
  <c r="E237" i="3" s="1"/>
  <c r="C221" i="3"/>
  <c r="D221" i="3" s="1"/>
  <c r="F221" i="3" s="1"/>
  <c r="C205" i="3"/>
  <c r="D205" i="3" s="1"/>
  <c r="E205" i="3" s="1"/>
  <c r="C253" i="3"/>
  <c r="D253" i="3" s="1"/>
  <c r="F253" i="3" s="1"/>
  <c r="C249" i="3"/>
  <c r="D249" i="3" s="1"/>
  <c r="F249" i="3" s="1"/>
  <c r="C233" i="3"/>
  <c r="D233" i="3" s="1"/>
  <c r="F233" i="3" s="1"/>
  <c r="C217" i="3"/>
  <c r="D217" i="3" s="1"/>
  <c r="E217" i="3" s="1"/>
  <c r="C201" i="3"/>
  <c r="D201" i="3" s="1"/>
  <c r="F201" i="3" s="1"/>
  <c r="C239" i="3"/>
  <c r="D239" i="3" s="1"/>
  <c r="F239" i="3" s="1"/>
  <c r="C223" i="3"/>
  <c r="D223" i="3" s="1"/>
  <c r="E223" i="3" s="1"/>
  <c r="C207" i="3"/>
  <c r="D207" i="3" s="1"/>
  <c r="E207" i="3" s="1"/>
  <c r="C245" i="3"/>
  <c r="D245" i="3" s="1"/>
  <c r="E245" i="3" s="1"/>
  <c r="C229" i="3"/>
  <c r="D229" i="3" s="1"/>
  <c r="E229" i="3" s="1"/>
  <c r="C213" i="3"/>
  <c r="D213" i="3" s="1"/>
  <c r="F213" i="3" s="1"/>
  <c r="C197" i="3"/>
  <c r="D197" i="3" s="1"/>
  <c r="F197" i="3" s="1"/>
  <c r="C251" i="3"/>
  <c r="D251" i="3" s="1"/>
  <c r="E251" i="3" s="1"/>
  <c r="C235" i="3"/>
  <c r="D235" i="3" s="1"/>
  <c r="F235" i="3" s="1"/>
  <c r="C219" i="3"/>
  <c r="D219" i="3" s="1"/>
  <c r="F219" i="3" s="1"/>
  <c r="C241" i="3"/>
  <c r="D241" i="3" s="1"/>
  <c r="E241" i="3" s="1"/>
  <c r="C225" i="3"/>
  <c r="D225" i="3" s="1"/>
  <c r="F225" i="3" s="1"/>
  <c r="C209" i="3"/>
  <c r="D209" i="3" s="1"/>
  <c r="E209" i="3" s="1"/>
  <c r="C199" i="3"/>
  <c r="D199" i="3" s="1"/>
  <c r="F199" i="3" s="1"/>
  <c r="C231" i="3"/>
  <c r="D231" i="3" s="1"/>
  <c r="F231" i="3" s="1"/>
  <c r="F243" i="3"/>
  <c r="E243" i="3"/>
  <c r="F206" i="3"/>
  <c r="C211" i="3"/>
  <c r="D211" i="3" s="1"/>
  <c r="E211" i="3" s="1"/>
  <c r="C247" i="3"/>
  <c r="D247" i="3" s="1"/>
  <c r="E247" i="3" s="1"/>
  <c r="C195" i="3"/>
  <c r="D195" i="3" s="1"/>
  <c r="E195" i="3" s="1"/>
  <c r="C203" i="3"/>
  <c r="D203" i="3" s="1"/>
  <c r="F203" i="3" s="1"/>
  <c r="C28" i="1"/>
  <c r="C27" i="1"/>
  <c r="B4" i="12" s="1"/>
  <c r="E173" i="3" l="1"/>
  <c r="F150" i="3"/>
  <c r="E189" i="3"/>
  <c r="F144" i="3"/>
  <c r="F120" i="3"/>
  <c r="E129" i="3"/>
  <c r="E193" i="3"/>
  <c r="E99" i="3"/>
  <c r="F92" i="3"/>
  <c r="E48" i="3"/>
  <c r="E70" i="3"/>
  <c r="N19" i="3"/>
  <c r="N24" i="3" s="1"/>
  <c r="E187" i="3"/>
  <c r="E131" i="3"/>
  <c r="E165" i="3"/>
  <c r="E185" i="3"/>
  <c r="N18" i="3"/>
  <c r="F158" i="3"/>
  <c r="F78" i="3"/>
  <c r="E91" i="3"/>
  <c r="E143" i="3"/>
  <c r="F48" i="3"/>
  <c r="E246" i="3"/>
  <c r="E177" i="3"/>
  <c r="E136" i="3"/>
  <c r="F121" i="3"/>
  <c r="F170" i="3"/>
  <c r="F136" i="3"/>
  <c r="F125" i="3"/>
  <c r="I23" i="3"/>
  <c r="I21" i="3"/>
  <c r="E64" i="3"/>
  <c r="E125" i="3"/>
  <c r="E50" i="3"/>
  <c r="F140" i="3"/>
  <c r="E139" i="3"/>
  <c r="F88" i="3"/>
  <c r="F178" i="3"/>
  <c r="F185" i="3"/>
  <c r="F111" i="3"/>
  <c r="E144" i="3"/>
  <c r="F183" i="3"/>
  <c r="E102" i="3"/>
  <c r="E111" i="3"/>
  <c r="E105" i="3"/>
  <c r="F99" i="3"/>
  <c r="F181" i="3"/>
  <c r="E88" i="3"/>
  <c r="F186" i="3"/>
  <c r="E180" i="3"/>
  <c r="F142" i="3"/>
  <c r="E149" i="3"/>
  <c r="F90" i="3"/>
  <c r="E97" i="3"/>
  <c r="F94" i="3"/>
  <c r="F153" i="3"/>
  <c r="E68" i="3"/>
  <c r="E145" i="3"/>
  <c r="E178" i="3"/>
  <c r="F89" i="3"/>
  <c r="E89" i="3"/>
  <c r="F151" i="3"/>
  <c r="F59" i="3"/>
  <c r="F166" i="3"/>
  <c r="E121" i="3"/>
  <c r="E147" i="3"/>
  <c r="E172" i="3"/>
  <c r="E123" i="3"/>
  <c r="E161" i="3"/>
  <c r="E138" i="3"/>
  <c r="F116" i="3"/>
  <c r="F77" i="3"/>
  <c r="F176" i="3"/>
  <c r="F76" i="3"/>
  <c r="F162" i="3"/>
  <c r="F75" i="3"/>
  <c r="F114" i="3"/>
  <c r="F175" i="3"/>
  <c r="F143" i="3"/>
  <c r="F95" i="3"/>
  <c r="E86" i="3"/>
  <c r="F55" i="3"/>
  <c r="F126" i="3"/>
  <c r="E117" i="3"/>
  <c r="E140" i="3"/>
  <c r="E146" i="3"/>
  <c r="E119" i="3"/>
  <c r="E132" i="3"/>
  <c r="F104" i="3"/>
  <c r="F101" i="3"/>
  <c r="F174" i="3"/>
  <c r="E151" i="3"/>
  <c r="F97" i="3"/>
  <c r="F146" i="3"/>
  <c r="F184" i="3"/>
  <c r="F93" i="3"/>
  <c r="F169" i="3"/>
  <c r="F137" i="3"/>
  <c r="F79" i="3"/>
  <c r="E72" i="3"/>
  <c r="F60" i="3"/>
  <c r="E182" i="3"/>
  <c r="F85" i="3"/>
  <c r="F167" i="3"/>
  <c r="F135" i="3"/>
  <c r="E77" i="3"/>
  <c r="F50" i="3"/>
  <c r="E65" i="3"/>
  <c r="F227" i="3"/>
  <c r="F103" i="3"/>
  <c r="E103" i="3"/>
  <c r="E124" i="3"/>
  <c r="E186" i="3"/>
  <c r="F188" i="3"/>
  <c r="E157" i="3"/>
  <c r="F83" i="3"/>
  <c r="E73" i="3"/>
  <c r="E152" i="3"/>
  <c r="E142" i="3"/>
  <c r="E87" i="3"/>
  <c r="E137" i="3"/>
  <c r="E175" i="3"/>
  <c r="F80" i="3"/>
  <c r="F165" i="3"/>
  <c r="F133" i="3"/>
  <c r="E118" i="3"/>
  <c r="E63" i="3"/>
  <c r="F51" i="3"/>
  <c r="E188" i="3"/>
  <c r="F87" i="3"/>
  <c r="F112" i="3"/>
  <c r="E171" i="3"/>
  <c r="E181" i="3"/>
  <c r="E85" i="3"/>
  <c r="F113" i="3"/>
  <c r="E179" i="3"/>
  <c r="F148" i="3"/>
  <c r="E126" i="3"/>
  <c r="E183" i="3"/>
  <c r="E120" i="3"/>
  <c r="E159" i="3"/>
  <c r="F191" i="3"/>
  <c r="F159" i="3"/>
  <c r="F127" i="3"/>
  <c r="E112" i="3"/>
  <c r="E66" i="3"/>
  <c r="E104" i="3"/>
  <c r="E49" i="3"/>
  <c r="E155" i="3"/>
  <c r="E133" i="3"/>
  <c r="F82" i="3"/>
  <c r="F132" i="3"/>
  <c r="F164" i="3"/>
  <c r="F138" i="3"/>
  <c r="E170" i="3"/>
  <c r="E168" i="3"/>
  <c r="E122" i="3"/>
  <c r="E154" i="3"/>
  <c r="F123" i="3"/>
  <c r="E163" i="3"/>
  <c r="E83" i="3"/>
  <c r="E135" i="3"/>
  <c r="F84" i="3"/>
  <c r="E79" i="3"/>
  <c r="E176" i="3"/>
  <c r="F130" i="3"/>
  <c r="E81" i="3"/>
  <c r="F168" i="3"/>
  <c r="E127" i="3"/>
  <c r="E75" i="3"/>
  <c r="F179" i="3"/>
  <c r="F163" i="3"/>
  <c r="F147" i="3"/>
  <c r="F131" i="3"/>
  <c r="E109" i="3"/>
  <c r="E116" i="3"/>
  <c r="E100" i="3"/>
  <c r="E84" i="3"/>
  <c r="F53" i="3"/>
  <c r="F58" i="3"/>
  <c r="E52" i="3"/>
  <c r="E62" i="3"/>
  <c r="E156" i="3"/>
  <c r="E190" i="3"/>
  <c r="F128" i="3"/>
  <c r="F81" i="3"/>
  <c r="F192" i="3"/>
  <c r="E169" i="3"/>
  <c r="E128" i="3"/>
  <c r="F73" i="3"/>
  <c r="E166" i="3"/>
  <c r="F119" i="3"/>
  <c r="F72" i="3"/>
  <c r="F177" i="3"/>
  <c r="F161" i="3"/>
  <c r="F145" i="3"/>
  <c r="F129" i="3"/>
  <c r="F102" i="3"/>
  <c r="E114" i="3"/>
  <c r="E98" i="3"/>
  <c r="E82" i="3"/>
  <c r="F52" i="3"/>
  <c r="E67" i="3"/>
  <c r="F61" i="3"/>
  <c r="F67" i="3"/>
  <c r="E53" i="3"/>
  <c r="E69" i="3"/>
  <c r="E96" i="3"/>
  <c r="E80" i="3"/>
  <c r="E60" i="3"/>
  <c r="E59" i="3"/>
  <c r="F62" i="3"/>
  <c r="F49" i="3"/>
  <c r="F65" i="3"/>
  <c r="E57" i="3"/>
  <c r="E167" i="3"/>
  <c r="F115" i="3"/>
  <c r="F105" i="3"/>
  <c r="E174" i="3"/>
  <c r="E160" i="3"/>
  <c r="E115" i="3"/>
  <c r="F193" i="3"/>
  <c r="F152" i="3"/>
  <c r="F106" i="3"/>
  <c r="F189" i="3"/>
  <c r="F173" i="3"/>
  <c r="F157" i="3"/>
  <c r="F141" i="3"/>
  <c r="F124" i="3"/>
  <c r="E93" i="3"/>
  <c r="E110" i="3"/>
  <c r="E94" i="3"/>
  <c r="E78" i="3"/>
  <c r="F54" i="3"/>
  <c r="E55" i="3"/>
  <c r="E61" i="3"/>
  <c r="E56" i="3"/>
  <c r="E58" i="3"/>
  <c r="E51" i="3"/>
  <c r="F98" i="3"/>
  <c r="E113" i="3"/>
  <c r="F154" i="3"/>
  <c r="F91" i="3"/>
  <c r="F182" i="3"/>
  <c r="E95" i="3"/>
  <c r="F172" i="3"/>
  <c r="F156" i="3"/>
  <c r="E148" i="3"/>
  <c r="F96" i="3"/>
  <c r="F134" i="3"/>
  <c r="E141" i="3"/>
  <c r="E158" i="3"/>
  <c r="F110" i="3"/>
  <c r="F100" i="3"/>
  <c r="F160" i="3"/>
  <c r="E153" i="3"/>
  <c r="F107" i="3"/>
  <c r="E191" i="3"/>
  <c r="E150" i="3"/>
  <c r="E101" i="3"/>
  <c r="F187" i="3"/>
  <c r="F171" i="3"/>
  <c r="F155" i="3"/>
  <c r="F139" i="3"/>
  <c r="F122" i="3"/>
  <c r="F86" i="3"/>
  <c r="E108" i="3"/>
  <c r="E92" i="3"/>
  <c r="E76" i="3"/>
  <c r="F63" i="3"/>
  <c r="F64" i="3"/>
  <c r="F68" i="3"/>
  <c r="F66" i="3"/>
  <c r="E54" i="3"/>
  <c r="E106" i="3"/>
  <c r="E90" i="3"/>
  <c r="E74" i="3"/>
  <c r="F56" i="3"/>
  <c r="E71" i="3"/>
  <c r="F70" i="3"/>
  <c r="F71" i="3"/>
  <c r="F69" i="3"/>
  <c r="F57" i="3"/>
  <c r="F238" i="3"/>
  <c r="F223" i="3"/>
  <c r="E204" i="3"/>
  <c r="E222" i="3"/>
  <c r="F216" i="3"/>
  <c r="E197" i="3"/>
  <c r="E219" i="3"/>
  <c r="F209" i="3"/>
  <c r="E248" i="3"/>
  <c r="F217" i="3"/>
  <c r="E240" i="3"/>
  <c r="E235" i="3"/>
  <c r="E200" i="3"/>
  <c r="E239" i="3"/>
  <c r="F208" i="3"/>
  <c r="E224" i="3"/>
  <c r="F232" i="3"/>
  <c r="F207" i="3"/>
  <c r="E201" i="3"/>
  <c r="E221" i="3"/>
  <c r="F215" i="3"/>
  <c r="E202" i="3"/>
  <c r="F250" i="3"/>
  <c r="E227" i="3"/>
  <c r="E236" i="3"/>
  <c r="F220" i="3"/>
  <c r="E199" i="3"/>
  <c r="F218" i="3"/>
  <c r="E225" i="3"/>
  <c r="E230" i="3"/>
  <c r="F252" i="3"/>
  <c r="F241" i="3"/>
  <c r="F237" i="3"/>
  <c r="F234" i="3"/>
  <c r="E249" i="3"/>
  <c r="F244" i="3"/>
  <c r="F246" i="3"/>
  <c r="E231" i="3"/>
  <c r="E253" i="3"/>
  <c r="F198" i="3"/>
  <c r="F205" i="3"/>
  <c r="F245" i="3"/>
  <c r="E242" i="3"/>
  <c r="F214" i="3"/>
  <c r="F194" i="3"/>
  <c r="F210" i="3"/>
  <c r="F226" i="3"/>
  <c r="E213" i="3"/>
  <c r="F251" i="3"/>
  <c r="E233" i="3"/>
  <c r="E228" i="3"/>
  <c r="E203" i="3"/>
  <c r="F212" i="3"/>
  <c r="F195" i="3"/>
  <c r="F211" i="3"/>
  <c r="F229" i="3"/>
  <c r="F196" i="3"/>
  <c r="F247" i="3"/>
  <c r="B13" i="2"/>
  <c r="B12" i="2"/>
  <c r="N25" i="3" l="1"/>
  <c r="N29" i="3"/>
  <c r="B20" i="2"/>
  <c r="B24" i="2"/>
  <c r="B23" i="2"/>
  <c r="B8" i="2"/>
  <c r="R39" i="1"/>
  <c r="R36" i="1" s="1"/>
  <c r="B19" i="12" s="1"/>
  <c r="R38" i="1"/>
  <c r="R35" i="1" s="1"/>
  <c r="C39" i="1"/>
  <c r="H20" i="1"/>
  <c r="B27" i="12" s="1"/>
  <c r="C19" i="1"/>
  <c r="C22" i="1" s="1"/>
  <c r="N35" i="3" l="1"/>
  <c r="B18" i="2"/>
  <c r="B18" i="12"/>
  <c r="J27" i="12"/>
  <c r="B27" i="2"/>
  <c r="J27" i="2" s="1"/>
  <c r="C47" i="1"/>
  <c r="D47" i="1" s="1"/>
  <c r="E47" i="1" s="1"/>
  <c r="R37" i="1"/>
  <c r="B19" i="2"/>
  <c r="C220" i="1"/>
  <c r="D220" i="1" s="1"/>
  <c r="F220" i="1" s="1"/>
  <c r="C206" i="1"/>
  <c r="D206" i="1" s="1"/>
  <c r="C198" i="1"/>
  <c r="D198" i="1" s="1"/>
  <c r="C190" i="1"/>
  <c r="D190" i="1" s="1"/>
  <c r="E190" i="1" s="1"/>
  <c r="C182" i="1"/>
  <c r="D182" i="1" s="1"/>
  <c r="F182" i="1" s="1"/>
  <c r="C174" i="1"/>
  <c r="D174" i="1" s="1"/>
  <c r="E174" i="1" s="1"/>
  <c r="C166" i="1"/>
  <c r="D166" i="1" s="1"/>
  <c r="F166" i="1" s="1"/>
  <c r="C158" i="1"/>
  <c r="D158" i="1" s="1"/>
  <c r="F158" i="1" s="1"/>
  <c r="C150" i="1"/>
  <c r="D150" i="1" s="1"/>
  <c r="E150" i="1" s="1"/>
  <c r="C142" i="1"/>
  <c r="D142" i="1" s="1"/>
  <c r="C134" i="1"/>
  <c r="D134" i="1" s="1"/>
  <c r="F134" i="1" s="1"/>
  <c r="C127" i="1"/>
  <c r="D127" i="1" s="1"/>
  <c r="E127" i="1" s="1"/>
  <c r="C119" i="1"/>
  <c r="D119" i="1" s="1"/>
  <c r="E119" i="1" s="1"/>
  <c r="C111" i="1"/>
  <c r="D111" i="1" s="1"/>
  <c r="F111" i="1" s="1"/>
  <c r="C103" i="1"/>
  <c r="D103" i="1" s="1"/>
  <c r="F103" i="1" s="1"/>
  <c r="C95" i="1"/>
  <c r="D95" i="1" s="1"/>
  <c r="E95" i="1" s="1"/>
  <c r="C87" i="1"/>
  <c r="D87" i="1" s="1"/>
  <c r="F87" i="1" s="1"/>
  <c r="C79" i="1"/>
  <c r="D79" i="1" s="1"/>
  <c r="C71" i="1"/>
  <c r="D71" i="1" s="1"/>
  <c r="E71" i="1" s="1"/>
  <c r="C63" i="1"/>
  <c r="D63" i="1" s="1"/>
  <c r="F63" i="1" s="1"/>
  <c r="C55" i="1"/>
  <c r="D55" i="1" s="1"/>
  <c r="E55" i="1" s="1"/>
  <c r="C207" i="1"/>
  <c r="D207" i="1" s="1"/>
  <c r="E207" i="1" s="1"/>
  <c r="C175" i="1"/>
  <c r="D175" i="1" s="1"/>
  <c r="E175" i="1" s="1"/>
  <c r="C143" i="1"/>
  <c r="D143" i="1" s="1"/>
  <c r="F143" i="1" s="1"/>
  <c r="C112" i="1"/>
  <c r="D112" i="1" s="1"/>
  <c r="F112" i="1" s="1"/>
  <c r="C88" i="1"/>
  <c r="D88" i="1" s="1"/>
  <c r="F88" i="1" s="1"/>
  <c r="C64" i="1"/>
  <c r="D64" i="1" s="1"/>
  <c r="F64" i="1" s="1"/>
  <c r="C48" i="1"/>
  <c r="D48" i="1" s="1"/>
  <c r="E48" i="1" s="1"/>
  <c r="C219" i="1"/>
  <c r="D219" i="1" s="1"/>
  <c r="E219" i="1" s="1"/>
  <c r="C213" i="1"/>
  <c r="D213" i="1" s="1"/>
  <c r="E213" i="1" s="1"/>
  <c r="C205" i="1"/>
  <c r="D205" i="1" s="1"/>
  <c r="E205" i="1" s="1"/>
  <c r="C197" i="1"/>
  <c r="D197" i="1" s="1"/>
  <c r="E197" i="1" s="1"/>
  <c r="C189" i="1"/>
  <c r="D189" i="1" s="1"/>
  <c r="E189" i="1" s="1"/>
  <c r="C181" i="1"/>
  <c r="D181" i="1" s="1"/>
  <c r="E181" i="1" s="1"/>
  <c r="C173" i="1"/>
  <c r="D173" i="1" s="1"/>
  <c r="F173" i="1" s="1"/>
  <c r="C165" i="1"/>
  <c r="D165" i="1" s="1"/>
  <c r="F165" i="1" s="1"/>
  <c r="C157" i="1"/>
  <c r="D157" i="1" s="1"/>
  <c r="E157" i="1" s="1"/>
  <c r="C149" i="1"/>
  <c r="D149" i="1" s="1"/>
  <c r="E149" i="1" s="1"/>
  <c r="C141" i="1"/>
  <c r="D141" i="1" s="1"/>
  <c r="F141" i="1" s="1"/>
  <c r="C133" i="1"/>
  <c r="D133" i="1" s="1"/>
  <c r="E133" i="1" s="1"/>
  <c r="C126" i="1"/>
  <c r="D126" i="1" s="1"/>
  <c r="F126" i="1" s="1"/>
  <c r="C118" i="1"/>
  <c r="D118" i="1" s="1"/>
  <c r="E118" i="1" s="1"/>
  <c r="C110" i="1"/>
  <c r="D110" i="1" s="1"/>
  <c r="F110" i="1" s="1"/>
  <c r="C102" i="1"/>
  <c r="D102" i="1" s="1"/>
  <c r="E102" i="1" s="1"/>
  <c r="C94" i="1"/>
  <c r="D94" i="1" s="1"/>
  <c r="F94" i="1" s="1"/>
  <c r="C86" i="1"/>
  <c r="D86" i="1" s="1"/>
  <c r="E86" i="1" s="1"/>
  <c r="C78" i="1"/>
  <c r="D78" i="1" s="1"/>
  <c r="F78" i="1" s="1"/>
  <c r="C70" i="1"/>
  <c r="D70" i="1" s="1"/>
  <c r="F70" i="1" s="1"/>
  <c r="C62" i="1"/>
  <c r="D62" i="1" s="1"/>
  <c r="E62" i="1" s="1"/>
  <c r="C54" i="1"/>
  <c r="D54" i="1" s="1"/>
  <c r="E54" i="1" s="1"/>
  <c r="C46" i="1"/>
  <c r="D46" i="1" s="1"/>
  <c r="F46" i="1" s="1"/>
  <c r="C221" i="1"/>
  <c r="D221" i="1" s="1"/>
  <c r="F221" i="1" s="1"/>
  <c r="C191" i="1"/>
  <c r="D191" i="1" s="1"/>
  <c r="E191" i="1" s="1"/>
  <c r="C159" i="1"/>
  <c r="D159" i="1" s="1"/>
  <c r="F159" i="1" s="1"/>
  <c r="C128" i="1"/>
  <c r="D128" i="1" s="1"/>
  <c r="E128" i="1" s="1"/>
  <c r="C104" i="1"/>
  <c r="D104" i="1" s="1"/>
  <c r="E104" i="1" s="1"/>
  <c r="C72" i="1"/>
  <c r="D72" i="1" s="1"/>
  <c r="E72" i="1" s="1"/>
  <c r="C56" i="1"/>
  <c r="D56" i="1" s="1"/>
  <c r="F56" i="1" s="1"/>
  <c r="C226" i="1"/>
  <c r="D226" i="1" s="1"/>
  <c r="E226" i="1" s="1"/>
  <c r="C218" i="1"/>
  <c r="D218" i="1" s="1"/>
  <c r="E218" i="1" s="1"/>
  <c r="C212" i="1"/>
  <c r="D212" i="1" s="1"/>
  <c r="F212" i="1" s="1"/>
  <c r="C204" i="1"/>
  <c r="D204" i="1" s="1"/>
  <c r="E204" i="1" s="1"/>
  <c r="C196" i="1"/>
  <c r="D196" i="1" s="1"/>
  <c r="E196" i="1" s="1"/>
  <c r="C188" i="1"/>
  <c r="D188" i="1" s="1"/>
  <c r="E188" i="1" s="1"/>
  <c r="C180" i="1"/>
  <c r="D180" i="1" s="1"/>
  <c r="F180" i="1" s="1"/>
  <c r="C172" i="1"/>
  <c r="D172" i="1" s="1"/>
  <c r="E172" i="1" s="1"/>
  <c r="C164" i="1"/>
  <c r="D164" i="1" s="1"/>
  <c r="E164" i="1" s="1"/>
  <c r="C156" i="1"/>
  <c r="D156" i="1" s="1"/>
  <c r="F156" i="1" s="1"/>
  <c r="C148" i="1"/>
  <c r="D148" i="1" s="1"/>
  <c r="E148" i="1" s="1"/>
  <c r="C140" i="1"/>
  <c r="D140" i="1" s="1"/>
  <c r="E140" i="1" s="1"/>
  <c r="C132" i="1"/>
  <c r="D132" i="1" s="1"/>
  <c r="E132" i="1" s="1"/>
  <c r="C125" i="1"/>
  <c r="D125" i="1" s="1"/>
  <c r="E125" i="1" s="1"/>
  <c r="C117" i="1"/>
  <c r="D117" i="1" s="1"/>
  <c r="E117" i="1" s="1"/>
  <c r="C109" i="1"/>
  <c r="D109" i="1" s="1"/>
  <c r="E109" i="1" s="1"/>
  <c r="C101" i="1"/>
  <c r="D101" i="1" s="1"/>
  <c r="F101" i="1" s="1"/>
  <c r="C93" i="1"/>
  <c r="D93" i="1" s="1"/>
  <c r="E93" i="1" s="1"/>
  <c r="C85" i="1"/>
  <c r="D85" i="1" s="1"/>
  <c r="E85" i="1" s="1"/>
  <c r="C77" i="1"/>
  <c r="D77" i="1" s="1"/>
  <c r="E77" i="1" s="1"/>
  <c r="C69" i="1"/>
  <c r="D69" i="1" s="1"/>
  <c r="E69" i="1" s="1"/>
  <c r="C61" i="1"/>
  <c r="D61" i="1" s="1"/>
  <c r="E61" i="1" s="1"/>
  <c r="C53" i="1"/>
  <c r="D53" i="1" s="1"/>
  <c r="F53" i="1" s="1"/>
  <c r="C199" i="1"/>
  <c r="D199" i="1" s="1"/>
  <c r="F199" i="1" s="1"/>
  <c r="C167" i="1"/>
  <c r="D167" i="1" s="1"/>
  <c r="E167" i="1" s="1"/>
  <c r="C135" i="1"/>
  <c r="D135" i="1" s="1"/>
  <c r="E135" i="1" s="1"/>
  <c r="C96" i="1"/>
  <c r="D96" i="1" s="1"/>
  <c r="E96" i="1" s="1"/>
  <c r="C225" i="1"/>
  <c r="D225" i="1" s="1"/>
  <c r="F225" i="1" s="1"/>
  <c r="C211" i="1"/>
  <c r="D211" i="1" s="1"/>
  <c r="F211" i="1" s="1"/>
  <c r="C203" i="1"/>
  <c r="D203" i="1" s="1"/>
  <c r="F203" i="1" s="1"/>
  <c r="C195" i="1"/>
  <c r="D195" i="1" s="1"/>
  <c r="F195" i="1" s="1"/>
  <c r="C187" i="1"/>
  <c r="D187" i="1" s="1"/>
  <c r="E187" i="1" s="1"/>
  <c r="C179" i="1"/>
  <c r="D179" i="1" s="1"/>
  <c r="F179" i="1" s="1"/>
  <c r="C171" i="1"/>
  <c r="D171" i="1" s="1"/>
  <c r="E171" i="1" s="1"/>
  <c r="C163" i="1"/>
  <c r="D163" i="1" s="1"/>
  <c r="F163" i="1" s="1"/>
  <c r="C155" i="1"/>
  <c r="D155" i="1" s="1"/>
  <c r="F155" i="1" s="1"/>
  <c r="C147" i="1"/>
  <c r="D147" i="1" s="1"/>
  <c r="F147" i="1" s="1"/>
  <c r="C139" i="1"/>
  <c r="D139" i="1" s="1"/>
  <c r="F139" i="1" s="1"/>
  <c r="C131" i="1"/>
  <c r="D131" i="1" s="1"/>
  <c r="E131" i="1" s="1"/>
  <c r="C124" i="1"/>
  <c r="D124" i="1" s="1"/>
  <c r="F124" i="1" s="1"/>
  <c r="C116" i="1"/>
  <c r="D116" i="1" s="1"/>
  <c r="F116" i="1" s="1"/>
  <c r="C108" i="1"/>
  <c r="D108" i="1" s="1"/>
  <c r="F108" i="1" s="1"/>
  <c r="C100" i="1"/>
  <c r="D100" i="1" s="1"/>
  <c r="F100" i="1" s="1"/>
  <c r="C92" i="1"/>
  <c r="D92" i="1" s="1"/>
  <c r="E92" i="1" s="1"/>
  <c r="C84" i="1"/>
  <c r="D84" i="1" s="1"/>
  <c r="E84" i="1" s="1"/>
  <c r="C76" i="1"/>
  <c r="D76" i="1" s="1"/>
  <c r="F76" i="1" s="1"/>
  <c r="C68" i="1"/>
  <c r="D68" i="1" s="1"/>
  <c r="F68" i="1" s="1"/>
  <c r="C60" i="1"/>
  <c r="D60" i="1" s="1"/>
  <c r="F60" i="1" s="1"/>
  <c r="C52" i="1"/>
  <c r="D52" i="1" s="1"/>
  <c r="F52" i="1" s="1"/>
  <c r="C224" i="1"/>
  <c r="D224" i="1" s="1"/>
  <c r="E224" i="1" s="1"/>
  <c r="C217" i="1"/>
  <c r="D217" i="1" s="1"/>
  <c r="F217" i="1" s="1"/>
  <c r="C210" i="1"/>
  <c r="D210" i="1" s="1"/>
  <c r="E210" i="1" s="1"/>
  <c r="C202" i="1"/>
  <c r="D202" i="1" s="1"/>
  <c r="E202" i="1" s="1"/>
  <c r="C194" i="1"/>
  <c r="D194" i="1" s="1"/>
  <c r="F194" i="1" s="1"/>
  <c r="C186" i="1"/>
  <c r="D186" i="1" s="1"/>
  <c r="E186" i="1" s="1"/>
  <c r="C178" i="1"/>
  <c r="D178" i="1" s="1"/>
  <c r="E178" i="1" s="1"/>
  <c r="C170" i="1"/>
  <c r="D170" i="1" s="1"/>
  <c r="E170" i="1" s="1"/>
  <c r="C162" i="1"/>
  <c r="D162" i="1" s="1"/>
  <c r="E162" i="1" s="1"/>
  <c r="C154" i="1"/>
  <c r="D154" i="1" s="1"/>
  <c r="F154" i="1" s="1"/>
  <c r="C146" i="1"/>
  <c r="D146" i="1" s="1"/>
  <c r="F146" i="1" s="1"/>
  <c r="C138" i="1"/>
  <c r="D138" i="1" s="1"/>
  <c r="E138" i="1" s="1"/>
  <c r="C130" i="1"/>
  <c r="D130" i="1" s="1"/>
  <c r="F130" i="1" s="1"/>
  <c r="C123" i="1"/>
  <c r="D123" i="1" s="1"/>
  <c r="E123" i="1" s="1"/>
  <c r="C115" i="1"/>
  <c r="D115" i="1" s="1"/>
  <c r="F115" i="1" s="1"/>
  <c r="C107" i="1"/>
  <c r="D107" i="1" s="1"/>
  <c r="F107" i="1" s="1"/>
  <c r="C99" i="1"/>
  <c r="D99" i="1" s="1"/>
  <c r="F99" i="1" s="1"/>
  <c r="C91" i="1"/>
  <c r="D91" i="1" s="1"/>
  <c r="F91" i="1" s="1"/>
  <c r="C83" i="1"/>
  <c r="D83" i="1" s="1"/>
  <c r="F83" i="1" s="1"/>
  <c r="C75" i="1"/>
  <c r="D75" i="1" s="1"/>
  <c r="E75" i="1" s="1"/>
  <c r="C67" i="1"/>
  <c r="D67" i="1" s="1"/>
  <c r="E67" i="1" s="1"/>
  <c r="C59" i="1"/>
  <c r="D59" i="1" s="1"/>
  <c r="F59" i="1" s="1"/>
  <c r="C51" i="1"/>
  <c r="D51" i="1" s="1"/>
  <c r="E51" i="1" s="1"/>
  <c r="C223" i="1"/>
  <c r="D223" i="1" s="1"/>
  <c r="F223" i="1" s="1"/>
  <c r="C216" i="1"/>
  <c r="D216" i="1" s="1"/>
  <c r="E216" i="1" s="1"/>
  <c r="C209" i="1"/>
  <c r="D209" i="1" s="1"/>
  <c r="F209" i="1" s="1"/>
  <c r="C201" i="1"/>
  <c r="D201" i="1" s="1"/>
  <c r="E201" i="1" s="1"/>
  <c r="C193" i="1"/>
  <c r="D193" i="1" s="1"/>
  <c r="F193" i="1" s="1"/>
  <c r="C185" i="1"/>
  <c r="D185" i="1" s="1"/>
  <c r="F185" i="1" s="1"/>
  <c r="C177" i="1"/>
  <c r="D177" i="1" s="1"/>
  <c r="E177" i="1" s="1"/>
  <c r="C169" i="1"/>
  <c r="D169" i="1" s="1"/>
  <c r="E169" i="1" s="1"/>
  <c r="C161" i="1"/>
  <c r="D161" i="1" s="1"/>
  <c r="E161" i="1" s="1"/>
  <c r="C153" i="1"/>
  <c r="D153" i="1" s="1"/>
  <c r="F153" i="1" s="1"/>
  <c r="C145" i="1"/>
  <c r="D145" i="1" s="1"/>
  <c r="F145" i="1" s="1"/>
  <c r="C137" i="1"/>
  <c r="D137" i="1" s="1"/>
  <c r="F137" i="1" s="1"/>
  <c r="C122" i="1"/>
  <c r="D122" i="1" s="1"/>
  <c r="E122" i="1" s="1"/>
  <c r="C114" i="1"/>
  <c r="D114" i="1" s="1"/>
  <c r="F114" i="1" s="1"/>
  <c r="C106" i="1"/>
  <c r="D106" i="1" s="1"/>
  <c r="E106" i="1" s="1"/>
  <c r="C98" i="1"/>
  <c r="D98" i="1" s="1"/>
  <c r="F98" i="1" s="1"/>
  <c r="C90" i="1"/>
  <c r="D90" i="1" s="1"/>
  <c r="F90" i="1" s="1"/>
  <c r="C82" i="1"/>
  <c r="D82" i="1" s="1"/>
  <c r="F82" i="1" s="1"/>
  <c r="C74" i="1"/>
  <c r="D74" i="1" s="1"/>
  <c r="F74" i="1" s="1"/>
  <c r="C66" i="1"/>
  <c r="D66" i="1" s="1"/>
  <c r="E66" i="1" s="1"/>
  <c r="C58" i="1"/>
  <c r="D58" i="1" s="1"/>
  <c r="F58" i="1" s="1"/>
  <c r="C50" i="1"/>
  <c r="D50" i="1" s="1"/>
  <c r="F50" i="1" s="1"/>
  <c r="C214" i="1"/>
  <c r="D214" i="1" s="1"/>
  <c r="F214" i="1" s="1"/>
  <c r="C183" i="1"/>
  <c r="D183" i="1" s="1"/>
  <c r="E183" i="1" s="1"/>
  <c r="C151" i="1"/>
  <c r="D151" i="1" s="1"/>
  <c r="E151" i="1" s="1"/>
  <c r="C120" i="1"/>
  <c r="D120" i="1" s="1"/>
  <c r="F120" i="1" s="1"/>
  <c r="C80" i="1"/>
  <c r="D80" i="1" s="1"/>
  <c r="F80" i="1" s="1"/>
  <c r="C222" i="1"/>
  <c r="D222" i="1" s="1"/>
  <c r="E222" i="1" s="1"/>
  <c r="C215" i="1"/>
  <c r="D215" i="1" s="1"/>
  <c r="E215" i="1" s="1"/>
  <c r="C208" i="1"/>
  <c r="D208" i="1" s="1"/>
  <c r="F208" i="1" s="1"/>
  <c r="C200" i="1"/>
  <c r="D200" i="1" s="1"/>
  <c r="E200" i="1" s="1"/>
  <c r="C192" i="1"/>
  <c r="D192" i="1" s="1"/>
  <c r="F192" i="1" s="1"/>
  <c r="C184" i="1"/>
  <c r="D184" i="1" s="1"/>
  <c r="E184" i="1" s="1"/>
  <c r="C176" i="1"/>
  <c r="D176" i="1" s="1"/>
  <c r="E176" i="1" s="1"/>
  <c r="C168" i="1"/>
  <c r="D168" i="1" s="1"/>
  <c r="F168" i="1" s="1"/>
  <c r="C160" i="1"/>
  <c r="D160" i="1" s="1"/>
  <c r="F160" i="1" s="1"/>
  <c r="C152" i="1"/>
  <c r="D152" i="1" s="1"/>
  <c r="E152" i="1" s="1"/>
  <c r="C144" i="1"/>
  <c r="D144" i="1" s="1"/>
  <c r="F144" i="1" s="1"/>
  <c r="C136" i="1"/>
  <c r="D136" i="1" s="1"/>
  <c r="E136" i="1" s="1"/>
  <c r="C129" i="1"/>
  <c r="D129" i="1" s="1"/>
  <c r="F129" i="1" s="1"/>
  <c r="C121" i="1"/>
  <c r="D121" i="1" s="1"/>
  <c r="E121" i="1" s="1"/>
  <c r="C113" i="1"/>
  <c r="D113" i="1" s="1"/>
  <c r="F113" i="1" s="1"/>
  <c r="C105" i="1"/>
  <c r="D105" i="1" s="1"/>
  <c r="F105" i="1" s="1"/>
  <c r="C97" i="1"/>
  <c r="D97" i="1" s="1"/>
  <c r="E97" i="1" s="1"/>
  <c r="C89" i="1"/>
  <c r="D89" i="1" s="1"/>
  <c r="E89" i="1" s="1"/>
  <c r="C81" i="1"/>
  <c r="D81" i="1" s="1"/>
  <c r="E81" i="1" s="1"/>
  <c r="C73" i="1"/>
  <c r="D73" i="1" s="1"/>
  <c r="E73" i="1" s="1"/>
  <c r="C65" i="1"/>
  <c r="D65" i="1" s="1"/>
  <c r="F65" i="1" s="1"/>
  <c r="C57" i="1"/>
  <c r="D57" i="1" s="1"/>
  <c r="F57" i="1" s="1"/>
  <c r="C49" i="1"/>
  <c r="D49" i="1" s="1"/>
  <c r="E49" i="1" s="1"/>
  <c r="E209" i="1"/>
  <c r="F204" i="1"/>
  <c r="E79" i="1"/>
  <c r="E64" i="1"/>
  <c r="F206" i="1"/>
  <c r="F142" i="1"/>
  <c r="E134" i="1"/>
  <c r="E206" i="1"/>
  <c r="E88" i="1"/>
  <c r="E142" i="1"/>
  <c r="E63" i="1"/>
  <c r="E198" i="1"/>
  <c r="F79" i="1"/>
  <c r="F109" i="1"/>
  <c r="E173" i="1"/>
  <c r="E101" i="1"/>
  <c r="F198" i="1"/>
  <c r="E110" i="1"/>
  <c r="N36" i="3" l="1"/>
  <c r="B17" i="10" s="1"/>
  <c r="N39" i="3"/>
  <c r="N28" i="3"/>
  <c r="N30" i="3"/>
  <c r="N31" i="3" s="1"/>
  <c r="F47" i="1"/>
  <c r="E46" i="1"/>
  <c r="F119" i="1"/>
  <c r="F190" i="1"/>
  <c r="E139" i="1"/>
  <c r="E194" i="1"/>
  <c r="E203" i="1"/>
  <c r="F150" i="1"/>
  <c r="E76" i="1"/>
  <c r="E130" i="1"/>
  <c r="F125" i="1"/>
  <c r="F55" i="1"/>
  <c r="F104" i="1"/>
  <c r="E185" i="1"/>
  <c r="E87" i="1"/>
  <c r="F67" i="1"/>
  <c r="F72" i="1"/>
  <c r="F188" i="1"/>
  <c r="F61" i="1"/>
  <c r="E220" i="1"/>
  <c r="E180" i="1"/>
  <c r="E112" i="1"/>
  <c r="N19" i="1" s="1"/>
  <c r="B18" i="4"/>
  <c r="B16" i="10"/>
  <c r="F117" i="1"/>
  <c r="F200" i="1"/>
  <c r="E53" i="1"/>
  <c r="F123" i="1"/>
  <c r="E199" i="1"/>
  <c r="F71" i="1"/>
  <c r="F49" i="1"/>
  <c r="F178" i="1"/>
  <c r="F132" i="1"/>
  <c r="F121" i="1"/>
  <c r="F219" i="1"/>
  <c r="N37" i="1"/>
  <c r="F73" i="1"/>
  <c r="E144" i="1"/>
  <c r="F106" i="1"/>
  <c r="E214" i="1"/>
  <c r="F81" i="1"/>
  <c r="E114" i="1"/>
  <c r="E59" i="1"/>
  <c r="F177" i="1"/>
  <c r="F172" i="1"/>
  <c r="F186" i="1"/>
  <c r="F51" i="1"/>
  <c r="E94" i="1"/>
  <c r="F183" i="1"/>
  <c r="E74" i="1"/>
  <c r="E182" i="1"/>
  <c r="E165" i="1"/>
  <c r="F48" i="1"/>
  <c r="F176" i="1"/>
  <c r="E113" i="1"/>
  <c r="F127" i="1"/>
  <c r="F102" i="1"/>
  <c r="E108" i="1"/>
  <c r="F171" i="1"/>
  <c r="F207" i="1"/>
  <c r="E155" i="1"/>
  <c r="E105" i="1"/>
  <c r="E154" i="1"/>
  <c r="E100" i="1"/>
  <c r="E217" i="1"/>
  <c r="E168" i="1"/>
  <c r="F157" i="1"/>
  <c r="E163" i="1"/>
  <c r="F191" i="1"/>
  <c r="E91" i="1"/>
  <c r="E145" i="1"/>
  <c r="E50" i="1"/>
  <c r="E208" i="1"/>
  <c r="F215" i="1"/>
  <c r="E159" i="1"/>
  <c r="E58" i="1"/>
  <c r="E141" i="1"/>
  <c r="F205" i="1"/>
  <c r="E137" i="1"/>
  <c r="F69" i="1"/>
  <c r="E78" i="1"/>
  <c r="E211" i="1"/>
  <c r="F84" i="1"/>
  <c r="F66" i="1"/>
  <c r="F75" i="1"/>
  <c r="F152" i="1"/>
  <c r="F128" i="1"/>
  <c r="F89" i="1"/>
  <c r="F122" i="1"/>
  <c r="E193" i="1"/>
  <c r="F196" i="1"/>
  <c r="F138" i="1"/>
  <c r="F202" i="1"/>
  <c r="E147" i="1"/>
  <c r="F77" i="1"/>
  <c r="F201" i="1"/>
  <c r="F95" i="1"/>
  <c r="E225" i="1"/>
  <c r="F222" i="1"/>
  <c r="E160" i="1"/>
  <c r="F140" i="1"/>
  <c r="E146" i="1"/>
  <c r="E158" i="1"/>
  <c r="F92" i="1"/>
  <c r="F149" i="1"/>
  <c r="E83" i="1"/>
  <c r="F97" i="1"/>
  <c r="F86" i="1"/>
  <c r="F213" i="1"/>
  <c r="F210" i="1"/>
  <c r="E153" i="1"/>
  <c r="E143" i="1"/>
  <c r="E212" i="1"/>
  <c r="F96" i="1"/>
  <c r="F184" i="1"/>
  <c r="F118" i="1"/>
  <c r="F148" i="1"/>
  <c r="F162" i="1"/>
  <c r="F54" i="1"/>
  <c r="E57" i="1"/>
  <c r="E99" i="1"/>
  <c r="E166" i="1"/>
  <c r="E82" i="1"/>
  <c r="E80" i="1"/>
  <c r="E179" i="1"/>
  <c r="F170" i="1"/>
  <c r="E52" i="1"/>
  <c r="F85" i="1"/>
  <c r="E156" i="1"/>
  <c r="F181" i="1"/>
  <c r="F216" i="1"/>
  <c r="E103" i="1"/>
  <c r="F224" i="1"/>
  <c r="E90" i="1"/>
  <c r="F151" i="1"/>
  <c r="E116" i="1"/>
  <c r="E221" i="1"/>
  <c r="E56" i="1"/>
  <c r="F136" i="1"/>
  <c r="F164" i="1"/>
  <c r="E70" i="1"/>
  <c r="F169" i="1"/>
  <c r="E115" i="1"/>
  <c r="E68" i="1"/>
  <c r="F226" i="1"/>
  <c r="F131" i="1"/>
  <c r="F133" i="1"/>
  <c r="E195" i="1"/>
  <c r="E98" i="1"/>
  <c r="F197" i="1"/>
  <c r="F167" i="1"/>
  <c r="F161" i="1"/>
  <c r="F135" i="1"/>
  <c r="F189" i="1"/>
  <c r="E60" i="1"/>
  <c r="E129" i="1"/>
  <c r="F174" i="1"/>
  <c r="E124" i="1"/>
  <c r="E192" i="1"/>
  <c r="E111" i="1"/>
  <c r="F93" i="1"/>
  <c r="E120" i="1"/>
  <c r="E126" i="1"/>
  <c r="E65" i="1"/>
  <c r="E107" i="1"/>
  <c r="F175" i="1"/>
  <c r="F62" i="1"/>
  <c r="F187" i="1"/>
  <c r="E223" i="1"/>
  <c r="F218" i="1"/>
  <c r="R26" i="3" l="1"/>
  <c r="R27" i="3" s="1"/>
  <c r="N21" i="4"/>
  <c r="B18" i="10"/>
  <c r="N26" i="3"/>
  <c r="N27" i="3" s="1"/>
  <c r="B10" i="4" s="1"/>
  <c r="N10" i="4" s="1"/>
  <c r="N24" i="1"/>
  <c r="N40" i="3"/>
  <c r="B19" i="4"/>
  <c r="R28" i="3" l="1"/>
  <c r="B7" i="4"/>
  <c r="B5" i="10"/>
  <c r="S26" i="3"/>
  <c r="U27" i="3"/>
  <c r="N29" i="1"/>
  <c r="N30" i="1" s="1"/>
  <c r="N31" i="1" s="1"/>
  <c r="N25" i="1"/>
  <c r="N28" i="1"/>
  <c r="R29" i="3" l="1"/>
  <c r="U29" i="3" s="1"/>
  <c r="S27" i="3"/>
  <c r="B8" i="10"/>
  <c r="B7" i="10"/>
  <c r="B9" i="4"/>
  <c r="B21" i="2"/>
  <c r="B21" i="12"/>
  <c r="B15" i="4"/>
  <c r="B13" i="10"/>
  <c r="S28" i="3"/>
  <c r="U28" i="3"/>
  <c r="N35" i="1"/>
  <c r="N38" i="1" s="1"/>
  <c r="R26" i="1"/>
  <c r="R27" i="1" s="1"/>
  <c r="R28" i="1" s="1"/>
  <c r="N26" i="1"/>
  <c r="R30" i="3" l="1"/>
  <c r="B7" i="2"/>
  <c r="B7" i="12"/>
  <c r="B15" i="2"/>
  <c r="B15" i="12"/>
  <c r="N27" i="1"/>
  <c r="U28" i="1"/>
  <c r="B17" i="4"/>
  <c r="B15" i="10"/>
  <c r="S29" i="3"/>
  <c r="N36" i="1"/>
  <c r="N39" i="1" s="1"/>
  <c r="U27" i="1"/>
  <c r="S27" i="1"/>
  <c r="S26" i="1"/>
  <c r="B9" i="10"/>
  <c r="S28" i="1"/>
  <c r="R29" i="1"/>
  <c r="B10" i="12" l="1"/>
  <c r="B9" i="12"/>
  <c r="B17" i="2"/>
  <c r="B17" i="12"/>
  <c r="B16" i="4"/>
  <c r="B14" i="10"/>
  <c r="S30" i="3"/>
  <c r="U30" i="3"/>
  <c r="R30" i="1"/>
  <c r="U29" i="1"/>
  <c r="S29" i="1"/>
  <c r="B16" i="2" l="1"/>
  <c r="B16" i="12"/>
  <c r="U30" i="1"/>
  <c r="S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23" authorId="0" shapeId="0" xr:uid="{00000000-0006-0000-0000-000001000000}">
      <text>
        <r>
          <rPr>
            <b/>
            <sz val="9"/>
            <color indexed="81"/>
            <rFont val="Tahoma"/>
            <family val="2"/>
          </rPr>
          <t>Author:</t>
        </r>
        <r>
          <rPr>
            <sz val="9"/>
            <color indexed="81"/>
            <rFont val="Tahoma"/>
            <family val="2"/>
          </rPr>
          <t xml:space="preserve">
Estimated at about 28.85 kg</t>
        </r>
      </text>
    </comment>
    <comment ref="N27" authorId="0" shapeId="0" xr:uid="{00000000-0006-0000-0000-000002000000}">
      <text>
        <r>
          <rPr>
            <b/>
            <sz val="9"/>
            <color indexed="81"/>
            <rFont val="Tahoma"/>
            <family val="2"/>
          </rPr>
          <t>Author:</t>
        </r>
        <r>
          <rPr>
            <sz val="9"/>
            <color indexed="81"/>
            <rFont val="Tahoma"/>
            <family val="2"/>
          </rPr>
          <t xml:space="preserve">
Should be set to 8.2 kg for Deliverance II - Can be changed by goal seeking ΔvD</t>
        </r>
      </text>
    </comment>
    <comment ref="U28" authorId="0" shapeId="0" xr:uid="{00000000-0006-0000-0000-000003000000}">
      <text>
        <r>
          <rPr>
            <b/>
            <sz val="9"/>
            <color indexed="81"/>
            <rFont val="Tahoma"/>
            <family val="2"/>
          </rPr>
          <t>Author:</t>
        </r>
        <r>
          <rPr>
            <sz val="9"/>
            <color indexed="81"/>
            <rFont val="Tahoma"/>
            <family val="2"/>
          </rPr>
          <t xml:space="preserve">
Can be changed by goal seeking OF ratio
</t>
        </r>
      </text>
    </comment>
    <comment ref="U29" authorId="0" shapeId="0" xr:uid="{00000000-0006-0000-0000-000004000000}">
      <text>
        <r>
          <rPr>
            <b/>
            <sz val="9"/>
            <color indexed="81"/>
            <rFont val="Tahoma"/>
            <family val="2"/>
          </rPr>
          <t>Author:</t>
        </r>
        <r>
          <rPr>
            <sz val="9"/>
            <color indexed="81"/>
            <rFont val="Tahoma"/>
            <family val="2"/>
          </rPr>
          <t xml:space="preserve">
Should be kept at 3.5 in - can be be goal seeking initial ox flux</t>
        </r>
      </text>
    </comment>
    <comment ref="N31" authorId="0" shapeId="0" xr:uid="{00000000-0006-0000-0000-000005000000}">
      <text>
        <r>
          <rPr>
            <b/>
            <sz val="9"/>
            <color indexed="81"/>
            <rFont val="Tahoma"/>
            <family val="2"/>
          </rPr>
          <t>Author:</t>
        </r>
        <r>
          <rPr>
            <sz val="9"/>
            <color indexed="81"/>
            <rFont val="Tahoma"/>
            <family val="2"/>
          </rPr>
          <t xml:space="preserve">
Should be kept around 1.576 kg/s to match current injector plate design - can be changed by goal seeking Thrust</t>
        </r>
      </text>
    </comment>
    <comment ref="C33" authorId="0" shapeId="0" xr:uid="{00000000-0006-0000-0000-000006000000}">
      <text>
        <r>
          <rPr>
            <b/>
            <sz val="9"/>
            <color indexed="81"/>
            <rFont val="Tahoma"/>
            <family val="2"/>
          </rPr>
          <t>Author:</t>
        </r>
        <r>
          <rPr>
            <sz val="9"/>
            <color indexed="81"/>
            <rFont val="Tahoma"/>
            <family val="2"/>
          </rPr>
          <t xml:space="preserve">
Should be about 1.19 for an OF ratio of 5.5
1.23 for an OF ratio of 4.5</t>
        </r>
      </text>
    </comment>
    <comment ref="C34" authorId="0" shapeId="0" xr:uid="{00000000-0006-0000-0000-000007000000}">
      <text>
        <r>
          <rPr>
            <b/>
            <sz val="9"/>
            <color indexed="81"/>
            <rFont val="Tahoma"/>
            <family val="2"/>
          </rPr>
          <t>Author:</t>
        </r>
        <r>
          <rPr>
            <sz val="9"/>
            <color indexed="81"/>
            <rFont val="Tahoma"/>
            <family val="2"/>
          </rPr>
          <t xml:space="preserve">
Should be about 24.5 for an OF ratio of 5.5
23.1 for an OF ratio of 4.5</t>
        </r>
      </text>
    </comment>
    <comment ref="C35" authorId="0" shapeId="0" xr:uid="{00000000-0006-0000-0000-000008000000}">
      <text>
        <r>
          <rPr>
            <b/>
            <sz val="9"/>
            <color indexed="81"/>
            <rFont val="Tahoma"/>
            <family val="2"/>
          </rPr>
          <t>Author:</t>
        </r>
        <r>
          <rPr>
            <sz val="9"/>
            <color indexed="81"/>
            <rFont val="Tahoma"/>
            <family val="2"/>
          </rPr>
          <t xml:space="preserve">
Should be about 3110 for an OF ratio of 5.5
2820 for an OF ratio of 4.5</t>
        </r>
      </text>
    </comment>
    <comment ref="E45" authorId="0" shapeId="0" xr:uid="{00000000-0006-0000-0000-000009000000}">
      <text>
        <r>
          <rPr>
            <b/>
            <sz val="9"/>
            <color indexed="81"/>
            <rFont val="Tahoma"/>
            <family val="2"/>
          </rPr>
          <t>Author:</t>
        </r>
        <r>
          <rPr>
            <sz val="9"/>
            <color indexed="81"/>
            <rFont val="Tahoma"/>
            <family val="2"/>
          </rPr>
          <t xml:space="preserve">
Note that these Isp values were calculated using the equation from Ch. 5 of the book.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23" authorId="0" shapeId="0" xr:uid="{00000000-0006-0000-0100-000001000000}">
      <text>
        <r>
          <rPr>
            <b/>
            <sz val="9"/>
            <color indexed="81"/>
            <rFont val="Tahoma"/>
            <family val="2"/>
          </rPr>
          <t>Author:</t>
        </r>
        <r>
          <rPr>
            <sz val="9"/>
            <color indexed="81"/>
            <rFont val="Tahoma"/>
            <family val="2"/>
          </rPr>
          <t xml:space="preserve">
Estimated at about 28.85 kg</t>
        </r>
      </text>
    </comment>
    <comment ref="N27" authorId="0" shapeId="0" xr:uid="{00000000-0006-0000-0100-000002000000}">
      <text>
        <r>
          <rPr>
            <b/>
            <sz val="9"/>
            <color indexed="81"/>
            <rFont val="Tahoma"/>
            <family val="2"/>
          </rPr>
          <t>Author:</t>
        </r>
        <r>
          <rPr>
            <sz val="9"/>
            <color indexed="81"/>
            <rFont val="Tahoma"/>
            <family val="2"/>
          </rPr>
          <t xml:space="preserve">
Should be set to 8.2 kg for Deliverance II - Can be changed by goal seeking ΔvD</t>
        </r>
      </text>
    </comment>
    <comment ref="U28" authorId="0" shapeId="0" xr:uid="{00000000-0006-0000-0100-000003000000}">
      <text>
        <r>
          <rPr>
            <b/>
            <sz val="9"/>
            <color indexed="81"/>
            <rFont val="Tahoma"/>
            <family val="2"/>
          </rPr>
          <t>Author:</t>
        </r>
        <r>
          <rPr>
            <sz val="9"/>
            <color indexed="81"/>
            <rFont val="Tahoma"/>
            <family val="2"/>
          </rPr>
          <t xml:space="preserve">
Can be changed by goal seeking OF ratio
</t>
        </r>
      </text>
    </comment>
    <comment ref="U29" authorId="0" shapeId="0" xr:uid="{00000000-0006-0000-0100-000004000000}">
      <text>
        <r>
          <rPr>
            <b/>
            <sz val="9"/>
            <color indexed="81"/>
            <rFont val="Tahoma"/>
            <family val="2"/>
          </rPr>
          <t>Author:</t>
        </r>
        <r>
          <rPr>
            <sz val="9"/>
            <color indexed="81"/>
            <rFont val="Tahoma"/>
            <family val="2"/>
          </rPr>
          <t xml:space="preserve">
Should be kept at 3.5 in - can be be goal seeking initial ox flux</t>
        </r>
      </text>
    </comment>
    <comment ref="N31" authorId="0" shapeId="0" xr:uid="{00000000-0006-0000-0100-000005000000}">
      <text>
        <r>
          <rPr>
            <b/>
            <sz val="9"/>
            <color indexed="81"/>
            <rFont val="Tahoma"/>
            <family val="2"/>
          </rPr>
          <t>Author:</t>
        </r>
        <r>
          <rPr>
            <sz val="9"/>
            <color indexed="81"/>
            <rFont val="Tahoma"/>
            <family val="2"/>
          </rPr>
          <t xml:space="preserve">
Should be kept around 1.576 kg/s to match current injector plate design - can be changed by goal seeking Thrust</t>
        </r>
      </text>
    </comment>
    <comment ref="C33" authorId="0" shapeId="0" xr:uid="{00000000-0006-0000-0100-000006000000}">
      <text>
        <r>
          <rPr>
            <b/>
            <sz val="9"/>
            <color indexed="81"/>
            <rFont val="Tahoma"/>
            <family val="2"/>
          </rPr>
          <t>Author:</t>
        </r>
        <r>
          <rPr>
            <sz val="9"/>
            <color indexed="81"/>
            <rFont val="Tahoma"/>
            <family val="2"/>
          </rPr>
          <t xml:space="preserve">
Should be about 1.19 for an OF ratio of 5.5
1.23 for an OF ratio of 4.5</t>
        </r>
      </text>
    </comment>
    <comment ref="C34" authorId="0" shapeId="0" xr:uid="{00000000-0006-0000-0100-000007000000}">
      <text>
        <r>
          <rPr>
            <b/>
            <sz val="9"/>
            <color indexed="81"/>
            <rFont val="Tahoma"/>
            <family val="2"/>
          </rPr>
          <t>Author:</t>
        </r>
        <r>
          <rPr>
            <sz val="9"/>
            <color indexed="81"/>
            <rFont val="Tahoma"/>
            <family val="2"/>
          </rPr>
          <t xml:space="preserve">
Should be about 24.5 for an OF ratio of 5.5
23.1 for an OF ratio of 4.5</t>
        </r>
      </text>
    </comment>
    <comment ref="C35" authorId="0" shapeId="0" xr:uid="{00000000-0006-0000-0100-000008000000}">
      <text>
        <r>
          <rPr>
            <b/>
            <sz val="9"/>
            <color indexed="81"/>
            <rFont val="Tahoma"/>
            <family val="2"/>
          </rPr>
          <t>Author:</t>
        </r>
        <r>
          <rPr>
            <sz val="9"/>
            <color indexed="81"/>
            <rFont val="Tahoma"/>
            <family val="2"/>
          </rPr>
          <t xml:space="preserve">
Should be about 3110 for an OF ratio of 5.5
2820 for an OF ratio of 4.5</t>
        </r>
      </text>
    </comment>
    <comment ref="E45" authorId="0" shapeId="0" xr:uid="{00000000-0006-0000-0100-000009000000}">
      <text>
        <r>
          <rPr>
            <b/>
            <sz val="9"/>
            <color indexed="81"/>
            <rFont val="Tahoma"/>
            <family val="2"/>
          </rPr>
          <t>Author:</t>
        </r>
        <r>
          <rPr>
            <sz val="9"/>
            <color indexed="81"/>
            <rFont val="Tahoma"/>
            <family val="2"/>
          </rPr>
          <t xml:space="preserve">
Note that these Isp values were calculated using the equation from Ch. 5 of the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23" authorId="0" shapeId="0" xr:uid="{00000000-0006-0000-0200-000001000000}">
      <text>
        <r>
          <rPr>
            <b/>
            <sz val="9"/>
            <color indexed="81"/>
            <rFont val="Tahoma"/>
            <family val="2"/>
          </rPr>
          <t>Author:</t>
        </r>
        <r>
          <rPr>
            <sz val="9"/>
            <color indexed="81"/>
            <rFont val="Tahoma"/>
            <family val="2"/>
          </rPr>
          <t xml:space="preserve">
Estimated at about 52 kg</t>
        </r>
      </text>
    </comment>
    <comment ref="N27" authorId="0" shapeId="0" xr:uid="{00000000-0006-0000-0200-000002000000}">
      <text>
        <r>
          <rPr>
            <b/>
            <sz val="9"/>
            <color indexed="81"/>
            <rFont val="Tahoma"/>
            <family val="2"/>
          </rPr>
          <t>Author:</t>
        </r>
        <r>
          <rPr>
            <sz val="9"/>
            <color indexed="81"/>
            <rFont val="Tahoma"/>
            <family val="2"/>
          </rPr>
          <t xml:space="preserve">
Should be set to 8.2 kg for Deliverance II - Can be changed by goal seeking ΔvD</t>
        </r>
      </text>
    </comment>
    <comment ref="U28" authorId="0" shapeId="0" xr:uid="{00000000-0006-0000-0200-000003000000}">
      <text>
        <r>
          <rPr>
            <b/>
            <sz val="9"/>
            <color indexed="81"/>
            <rFont val="Tahoma"/>
            <family val="2"/>
          </rPr>
          <t>Author:</t>
        </r>
        <r>
          <rPr>
            <sz val="9"/>
            <color indexed="81"/>
            <rFont val="Tahoma"/>
            <family val="2"/>
          </rPr>
          <t xml:space="preserve">
Can be changed by goal seeking OF ratio
</t>
        </r>
      </text>
    </comment>
    <comment ref="U29" authorId="0" shapeId="0" xr:uid="{00000000-0006-0000-0200-000004000000}">
      <text>
        <r>
          <rPr>
            <b/>
            <sz val="9"/>
            <color indexed="81"/>
            <rFont val="Tahoma"/>
            <family val="2"/>
          </rPr>
          <t>Author:</t>
        </r>
        <r>
          <rPr>
            <sz val="9"/>
            <color indexed="81"/>
            <rFont val="Tahoma"/>
            <family val="2"/>
          </rPr>
          <t xml:space="preserve">
Should be kept at 3.5 in - can be be goal seeking initial ox flux</t>
        </r>
      </text>
    </comment>
    <comment ref="N31" authorId="0" shapeId="0" xr:uid="{00000000-0006-0000-0200-000005000000}">
      <text>
        <r>
          <rPr>
            <b/>
            <sz val="9"/>
            <color indexed="81"/>
            <rFont val="Tahoma"/>
            <family val="2"/>
          </rPr>
          <t>Author:</t>
        </r>
        <r>
          <rPr>
            <sz val="9"/>
            <color indexed="81"/>
            <rFont val="Tahoma"/>
            <family val="2"/>
          </rPr>
          <t xml:space="preserve">
Should be kept around 1.576 kg/s to match current injector plate design - can be changed by goal seeking Thrust</t>
        </r>
      </text>
    </comment>
    <comment ref="C33" authorId="0" shapeId="0" xr:uid="{00000000-0006-0000-0200-000006000000}">
      <text>
        <r>
          <rPr>
            <b/>
            <sz val="9"/>
            <color indexed="81"/>
            <rFont val="Tahoma"/>
            <family val="2"/>
          </rPr>
          <t>Author:</t>
        </r>
        <r>
          <rPr>
            <sz val="9"/>
            <color indexed="81"/>
            <rFont val="Tahoma"/>
            <family val="2"/>
          </rPr>
          <t xml:space="preserve">
Should be about 1.19 for an OF ratio of 5.5
1.23 for an OF ratio of 4.5</t>
        </r>
      </text>
    </comment>
    <comment ref="C34" authorId="0" shapeId="0" xr:uid="{00000000-0006-0000-0200-000007000000}">
      <text>
        <r>
          <rPr>
            <b/>
            <sz val="9"/>
            <color indexed="81"/>
            <rFont val="Tahoma"/>
            <family val="2"/>
          </rPr>
          <t>Author:</t>
        </r>
        <r>
          <rPr>
            <sz val="9"/>
            <color indexed="81"/>
            <rFont val="Tahoma"/>
            <family val="2"/>
          </rPr>
          <t xml:space="preserve">
Should be about 24.5 for an OF ratio of 5.5
23.1 for an OF ratio of 4.5</t>
        </r>
      </text>
    </comment>
    <comment ref="C35" authorId="0" shapeId="0" xr:uid="{00000000-0006-0000-0200-000008000000}">
      <text>
        <r>
          <rPr>
            <b/>
            <sz val="9"/>
            <color indexed="81"/>
            <rFont val="Tahoma"/>
            <family val="2"/>
          </rPr>
          <t>Author:</t>
        </r>
        <r>
          <rPr>
            <sz val="9"/>
            <color indexed="81"/>
            <rFont val="Tahoma"/>
            <family val="2"/>
          </rPr>
          <t xml:space="preserve">
Should be about 3110 for an OF ratio of 5.5
2820 for an OF ratio of 4.5</t>
        </r>
      </text>
    </comment>
    <comment ref="E47" authorId="0" shapeId="0" xr:uid="{00000000-0006-0000-0200-000009000000}">
      <text>
        <r>
          <rPr>
            <b/>
            <sz val="9"/>
            <color indexed="81"/>
            <rFont val="Tahoma"/>
            <family val="2"/>
          </rPr>
          <t>Author:</t>
        </r>
        <r>
          <rPr>
            <sz val="9"/>
            <color indexed="81"/>
            <rFont val="Tahoma"/>
            <family val="2"/>
          </rPr>
          <t xml:space="preserve">
Note that these Isp values were calculated using the equation from Ch. 5 of the book.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1" authorId="0" shapeId="0" xr:uid="{00000000-0006-0000-0700-000001000000}">
      <text>
        <r>
          <rPr>
            <b/>
            <sz val="9"/>
            <color indexed="81"/>
            <rFont val="Tahoma"/>
            <family val="2"/>
          </rPr>
          <t>Author:</t>
        </r>
        <r>
          <rPr>
            <sz val="9"/>
            <color indexed="81"/>
            <rFont val="Tahoma"/>
            <family val="2"/>
          </rPr>
          <t xml:space="preserve">
Should be under 40, Standford paper</t>
        </r>
      </text>
    </comment>
  </commentList>
</comments>
</file>

<file path=xl/sharedStrings.xml><?xml version="1.0" encoding="utf-8"?>
<sst xmlns="http://schemas.openxmlformats.org/spreadsheetml/2006/main" count="730" uniqueCount="288">
  <si>
    <t>UTAT Preliminary Engine Design Spreadsheet</t>
  </si>
  <si>
    <r>
      <rPr>
        <b/>
        <sz val="11"/>
        <color theme="1"/>
        <rFont val="Calibri"/>
        <family val="2"/>
        <scheme val="minor"/>
      </rPr>
      <t>Authors:</t>
    </r>
    <r>
      <rPr>
        <sz val="11"/>
        <color theme="1"/>
        <rFont val="Calibri"/>
        <family val="2"/>
        <scheme val="minor"/>
      </rPr>
      <t xml:space="preserve"> Thomas Leung, Mitchell Passareli, Andreas Marquis</t>
    </r>
  </si>
  <si>
    <r>
      <rPr>
        <b/>
        <sz val="11"/>
        <color theme="1"/>
        <rFont val="Calibri"/>
        <family val="2"/>
        <scheme val="minor"/>
      </rPr>
      <t>Last Revision</t>
    </r>
    <r>
      <rPr>
        <sz val="11"/>
        <color theme="1"/>
        <rFont val="Calibri"/>
        <family val="2"/>
        <scheme val="minor"/>
      </rPr>
      <t>: May 29th, 2017</t>
    </r>
  </si>
  <si>
    <t>Hybrid rocket propulsion system conceptual overview</t>
  </si>
  <si>
    <t>h (m)</t>
  </si>
  <si>
    <t>OF</t>
  </si>
  <si>
    <r>
      <t>P</t>
    </r>
    <r>
      <rPr>
        <vertAlign val="subscript"/>
        <sz val="11"/>
        <color theme="1"/>
        <rFont val="Calibri"/>
        <family val="2"/>
        <scheme val="minor"/>
      </rPr>
      <t>cc</t>
    </r>
    <r>
      <rPr>
        <sz val="11"/>
        <color theme="1"/>
        <rFont val="Calibri"/>
        <family val="2"/>
        <scheme val="minor"/>
      </rPr>
      <t xml:space="preserve"> (kPa)</t>
    </r>
  </si>
  <si>
    <t>F (N)</t>
  </si>
  <si>
    <r>
      <rPr>
        <sz val="11"/>
        <color theme="1"/>
        <rFont val="Calibri"/>
        <family val="2"/>
      </rPr>
      <t>η</t>
    </r>
    <r>
      <rPr>
        <vertAlign val="subscript"/>
        <sz val="11"/>
        <color theme="1"/>
        <rFont val="Calibri"/>
        <family val="2"/>
      </rPr>
      <t>c*</t>
    </r>
  </si>
  <si>
    <t>λ</t>
  </si>
  <si>
    <r>
      <t>P</t>
    </r>
    <r>
      <rPr>
        <vertAlign val="subscript"/>
        <sz val="11"/>
        <color theme="1"/>
        <rFont val="Calibri"/>
        <family val="2"/>
        <scheme val="minor"/>
      </rPr>
      <t>ox</t>
    </r>
    <r>
      <rPr>
        <sz val="11"/>
        <color theme="1"/>
        <rFont val="Calibri"/>
        <family val="2"/>
        <scheme val="minor"/>
      </rPr>
      <t xml:space="preserve"> (kPa)</t>
    </r>
  </si>
  <si>
    <t>Rocket Flight</t>
  </si>
  <si>
    <t>Engine Parameters</t>
  </si>
  <si>
    <r>
      <t>Δv</t>
    </r>
    <r>
      <rPr>
        <vertAlign val="subscript"/>
        <sz val="11"/>
        <color theme="1"/>
        <rFont val="Calibri"/>
        <family val="2"/>
        <scheme val="minor"/>
      </rPr>
      <t>D</t>
    </r>
    <r>
      <rPr>
        <sz val="11"/>
        <color theme="1"/>
        <rFont val="Calibri"/>
        <family val="2"/>
        <scheme val="minor"/>
      </rPr>
      <t xml:space="preserve"> (m/s)</t>
    </r>
  </si>
  <si>
    <t>Launch Site</t>
  </si>
  <si>
    <r>
      <t>h</t>
    </r>
    <r>
      <rPr>
        <vertAlign val="subscript"/>
        <sz val="11"/>
        <color theme="1"/>
        <rFont val="Calibri"/>
        <family val="2"/>
        <scheme val="minor"/>
      </rPr>
      <t>launch</t>
    </r>
    <r>
      <rPr>
        <sz val="11"/>
        <color theme="1"/>
        <rFont val="Calibri"/>
        <family val="2"/>
        <scheme val="minor"/>
      </rPr>
      <t xml:space="preserve"> (m)</t>
    </r>
  </si>
  <si>
    <r>
      <t>P</t>
    </r>
    <r>
      <rPr>
        <vertAlign val="subscript"/>
        <sz val="11"/>
        <color theme="1"/>
        <rFont val="Calibri"/>
        <family val="2"/>
        <scheme val="minor"/>
      </rPr>
      <t>a,i</t>
    </r>
    <r>
      <rPr>
        <sz val="11"/>
        <color theme="1"/>
        <rFont val="Calibri"/>
        <family val="2"/>
        <scheme val="minor"/>
      </rPr>
      <t xml:space="preserve"> (kPa)</t>
    </r>
  </si>
  <si>
    <r>
      <t>h</t>
    </r>
    <r>
      <rPr>
        <vertAlign val="subscript"/>
        <sz val="11"/>
        <color theme="1"/>
        <rFont val="Calibri"/>
        <family val="2"/>
        <scheme val="minor"/>
      </rPr>
      <t>burnout</t>
    </r>
    <r>
      <rPr>
        <sz val="11"/>
        <color theme="1"/>
        <rFont val="Calibri"/>
        <family val="2"/>
        <scheme val="minor"/>
      </rPr>
      <t xml:space="preserve"> (m)</t>
    </r>
  </si>
  <si>
    <t>γ</t>
  </si>
  <si>
    <t>MW (g/mol)</t>
  </si>
  <si>
    <r>
      <t>T</t>
    </r>
    <r>
      <rPr>
        <vertAlign val="subscript"/>
        <sz val="11"/>
        <color theme="1"/>
        <rFont val="Calibri"/>
        <family val="2"/>
      </rPr>
      <t>cc</t>
    </r>
    <r>
      <rPr>
        <sz val="11"/>
        <color theme="1"/>
        <rFont val="Calibri"/>
        <family val="2"/>
      </rPr>
      <t xml:space="preserve"> = T</t>
    </r>
    <r>
      <rPr>
        <vertAlign val="subscript"/>
        <sz val="11"/>
        <color theme="1"/>
        <rFont val="Calibri"/>
        <family val="2"/>
      </rPr>
      <t>f</t>
    </r>
    <r>
      <rPr>
        <sz val="11"/>
        <color theme="1"/>
        <rFont val="Calibri"/>
        <family val="2"/>
      </rPr>
      <t xml:space="preserve"> (K)</t>
    </r>
  </si>
  <si>
    <t>c* (m/s)</t>
  </si>
  <si>
    <t>R (J/kg*K)</t>
  </si>
  <si>
    <t>Δv (m/s)</t>
  </si>
  <si>
    <t>Thermo-Chemstry</t>
  </si>
  <si>
    <t>Target Apogee</t>
  </si>
  <si>
    <t xml:space="preserve">Estimated Drag Losses </t>
  </si>
  <si>
    <t>Burnout Altitude</t>
  </si>
  <si>
    <t>Estimated Δv Requirement</t>
  </si>
  <si>
    <t>Altitude of Spaceport America</t>
  </si>
  <si>
    <t>Design Combustion Chamber Pressure</t>
  </si>
  <si>
    <t>Design Thrust</t>
  </si>
  <si>
    <t>Design Oxidizer to Fuel Ratio</t>
  </si>
  <si>
    <t>Ambient Pressure at Launch Altitude</t>
  </si>
  <si>
    <t>Ambient Pressure at 2/3 Burnout Altitude</t>
  </si>
  <si>
    <t>Nitrous Oxide Tank Pressure (Temp. Dependant)</t>
  </si>
  <si>
    <t>Combustion Efficiency</t>
  </si>
  <si>
    <t>Nozzle Efficiency</t>
  </si>
  <si>
    <t>Combustion Flame Temperature</t>
  </si>
  <si>
    <t>Molar Mass of Combustion Gas</t>
  </si>
  <si>
    <t>Ratio of Specific Heats</t>
  </si>
  <si>
    <t>Gas Constant</t>
  </si>
  <si>
    <t>Characteristic Velocity</t>
  </si>
  <si>
    <t>Average</t>
  </si>
  <si>
    <t>Initial</t>
  </si>
  <si>
    <r>
      <t>P</t>
    </r>
    <r>
      <rPr>
        <vertAlign val="subscript"/>
        <sz val="11"/>
        <color theme="1"/>
        <rFont val="Calibri"/>
        <family val="2"/>
        <scheme val="minor"/>
      </rPr>
      <t>e</t>
    </r>
    <r>
      <rPr>
        <sz val="11"/>
        <color theme="1"/>
        <rFont val="Calibri"/>
        <family val="2"/>
        <scheme val="minor"/>
      </rPr>
      <t xml:space="preserve"> (kPa)</t>
    </r>
  </si>
  <si>
    <r>
      <t>M</t>
    </r>
    <r>
      <rPr>
        <vertAlign val="subscript"/>
        <sz val="11"/>
        <color theme="1"/>
        <rFont val="Calibri"/>
        <family val="2"/>
        <scheme val="minor"/>
      </rPr>
      <t>e</t>
    </r>
  </si>
  <si>
    <t>ε</t>
  </si>
  <si>
    <r>
      <t>I</t>
    </r>
    <r>
      <rPr>
        <vertAlign val="subscript"/>
        <sz val="11"/>
        <color theme="1"/>
        <rFont val="Calibri"/>
        <family val="2"/>
      </rPr>
      <t>sp</t>
    </r>
    <r>
      <rPr>
        <sz val="11"/>
        <color theme="1"/>
        <rFont val="Calibri"/>
        <family val="2"/>
      </rPr>
      <t xml:space="preserve"> (s)</t>
    </r>
  </si>
  <si>
    <t>Nozzle Exit Pressure = Pressure at 2/3 Burnout Altitude</t>
  </si>
  <si>
    <r>
      <t>rho (kg/m</t>
    </r>
    <r>
      <rPr>
        <vertAlign val="superscript"/>
        <sz val="11"/>
        <color theme="1"/>
        <rFont val="Calibri"/>
        <family val="2"/>
        <scheme val="minor"/>
      </rPr>
      <t>3</t>
    </r>
    <r>
      <rPr>
        <sz val="11"/>
        <color theme="1"/>
        <rFont val="Calibri"/>
        <family val="2"/>
        <scheme val="minor"/>
      </rPr>
      <t>)</t>
    </r>
  </si>
  <si>
    <t>Density of Parafin Wax</t>
  </si>
  <si>
    <t>a0</t>
  </si>
  <si>
    <t>n</t>
  </si>
  <si>
    <r>
      <t>a</t>
    </r>
    <r>
      <rPr>
        <vertAlign val="subscript"/>
        <sz val="11"/>
        <color theme="1"/>
        <rFont val="Calibri"/>
        <family val="2"/>
        <scheme val="minor"/>
      </rPr>
      <t>0</t>
    </r>
  </si>
  <si>
    <t>Fuel Properties</t>
  </si>
  <si>
    <t>Regression Rate Coefficient</t>
  </si>
  <si>
    <t>Flux Exponent</t>
  </si>
  <si>
    <t>Karabeyoglu, M., “Development of high burning rate hybrid rocket fuel flight demonstrators,” 39th AIAA/ASME/SAE/ASEE Joint propulsion conference, Huntsville, AL, 2003.</t>
  </si>
  <si>
    <t>Ronald W. Humble, Gary N. Henry, Wiley J. Larson. Space Propulsion Analysis and Design. New York :McGraw-Hill, 2007. Print.</t>
  </si>
  <si>
    <t>Notes:</t>
  </si>
  <si>
    <t>Rocket Geometry</t>
  </si>
  <si>
    <t>L (m)</t>
  </si>
  <si>
    <t>Length of the Rocket</t>
  </si>
  <si>
    <t>Sources:</t>
  </si>
  <si>
    <t>DESIGN INPUTS</t>
  </si>
  <si>
    <t>Propellant &amp; Flow Rates:</t>
  </si>
  <si>
    <r>
      <t>m</t>
    </r>
    <r>
      <rPr>
        <vertAlign val="subscript"/>
        <sz val="11"/>
        <color theme="1"/>
        <rFont val="Calibri"/>
        <family val="2"/>
        <scheme val="minor"/>
      </rPr>
      <t>f</t>
    </r>
    <r>
      <rPr>
        <sz val="11"/>
        <color theme="1"/>
        <rFont val="Calibri"/>
        <family val="2"/>
        <scheme val="minor"/>
      </rPr>
      <t xml:space="preserve"> (kg)</t>
    </r>
  </si>
  <si>
    <r>
      <t>m</t>
    </r>
    <r>
      <rPr>
        <vertAlign val="subscript"/>
        <sz val="11"/>
        <color theme="1"/>
        <rFont val="Calibri"/>
        <family val="2"/>
        <scheme val="minor"/>
      </rPr>
      <t>i</t>
    </r>
    <r>
      <rPr>
        <sz val="11"/>
        <color theme="1"/>
        <rFont val="Calibri"/>
        <family val="2"/>
        <scheme val="minor"/>
      </rPr>
      <t xml:space="preserve"> (kg)</t>
    </r>
  </si>
  <si>
    <r>
      <t>m</t>
    </r>
    <r>
      <rPr>
        <vertAlign val="subscript"/>
        <sz val="11"/>
        <color theme="1"/>
        <rFont val="Calibri"/>
        <family val="2"/>
        <scheme val="minor"/>
      </rPr>
      <t>prop</t>
    </r>
    <r>
      <rPr>
        <sz val="11"/>
        <color theme="1"/>
        <rFont val="Calibri"/>
        <family val="2"/>
        <scheme val="minor"/>
      </rPr>
      <t xml:space="preserve"> (kg)</t>
    </r>
  </si>
  <si>
    <r>
      <t>m</t>
    </r>
    <r>
      <rPr>
        <vertAlign val="subscript"/>
        <sz val="11"/>
        <color theme="1"/>
        <rFont val="Calibri"/>
        <family val="2"/>
        <scheme val="minor"/>
      </rPr>
      <t>fuel</t>
    </r>
    <r>
      <rPr>
        <sz val="11"/>
        <color theme="1"/>
        <rFont val="Calibri"/>
        <family val="2"/>
        <scheme val="minor"/>
      </rPr>
      <t xml:space="preserve"> (kg)</t>
    </r>
  </si>
  <si>
    <r>
      <t>m</t>
    </r>
    <r>
      <rPr>
        <vertAlign val="subscript"/>
        <sz val="11"/>
        <color theme="1"/>
        <rFont val="Calibri"/>
        <family val="2"/>
        <scheme val="minor"/>
      </rPr>
      <t>ox</t>
    </r>
    <r>
      <rPr>
        <sz val="11"/>
        <color theme="1"/>
        <rFont val="Calibri"/>
        <family val="2"/>
        <scheme val="minor"/>
      </rPr>
      <t xml:space="preserve"> (kg)</t>
    </r>
  </si>
  <si>
    <r>
      <t>f</t>
    </r>
    <r>
      <rPr>
        <vertAlign val="subscript"/>
        <sz val="11"/>
        <color theme="1"/>
        <rFont val="Calibri"/>
        <family val="2"/>
        <scheme val="minor"/>
      </rPr>
      <t>inert</t>
    </r>
  </si>
  <si>
    <r>
      <t>m</t>
    </r>
    <r>
      <rPr>
        <sz val="11"/>
        <color theme="1"/>
        <rFont val="Calibri"/>
        <family val="2"/>
      </rPr>
      <t>̇</t>
    </r>
    <r>
      <rPr>
        <vertAlign val="subscript"/>
        <sz val="11"/>
        <color theme="1"/>
        <rFont val="Calibri"/>
        <family val="2"/>
      </rPr>
      <t>prop</t>
    </r>
    <r>
      <rPr>
        <sz val="11"/>
        <color theme="1"/>
        <rFont val="Calibri"/>
        <family val="2"/>
      </rPr>
      <t xml:space="preserve"> (kg/s)</t>
    </r>
  </si>
  <si>
    <r>
      <t>m</t>
    </r>
    <r>
      <rPr>
        <sz val="11"/>
        <color theme="1"/>
        <rFont val="Calibri"/>
        <family val="2"/>
      </rPr>
      <t>̇</t>
    </r>
    <r>
      <rPr>
        <vertAlign val="subscript"/>
        <sz val="11"/>
        <color theme="1"/>
        <rFont val="Calibri"/>
        <family val="2"/>
      </rPr>
      <t>fuel</t>
    </r>
    <r>
      <rPr>
        <sz val="11"/>
        <color theme="1"/>
        <rFont val="Calibri"/>
        <family val="2"/>
      </rPr>
      <t xml:space="preserve"> (kg/s)</t>
    </r>
  </si>
  <si>
    <r>
      <t>m</t>
    </r>
    <r>
      <rPr>
        <sz val="11"/>
        <color theme="1"/>
        <rFont val="Calibri"/>
        <family val="2"/>
      </rPr>
      <t>̇</t>
    </r>
    <r>
      <rPr>
        <vertAlign val="subscript"/>
        <sz val="11"/>
        <color theme="1"/>
        <rFont val="Calibri"/>
        <family val="2"/>
      </rPr>
      <t>ox</t>
    </r>
    <r>
      <rPr>
        <sz val="11"/>
        <color theme="1"/>
        <rFont val="Calibri"/>
        <family val="2"/>
      </rPr>
      <t xml:space="preserve"> (kg/s)</t>
    </r>
  </si>
  <si>
    <t>Isp</t>
  </si>
  <si>
    <r>
      <t>Initial Ox Flux (kg/m</t>
    </r>
    <r>
      <rPr>
        <vertAlign val="superscript"/>
        <sz val="11"/>
        <color theme="1"/>
        <rFont val="Calibri"/>
        <family val="2"/>
        <scheme val="minor"/>
      </rPr>
      <t>2</t>
    </r>
    <r>
      <rPr>
        <sz val="11"/>
        <color theme="1"/>
        <rFont val="Calibri"/>
        <family val="2"/>
        <scheme val="minor"/>
      </rPr>
      <t>·s)</t>
    </r>
  </si>
  <si>
    <t>This can be between 350-700, see blow-off marker in text. It is also entirely a design decision.</t>
  </si>
  <si>
    <t># Ports</t>
  </si>
  <si>
    <r>
      <t>Initial Port Area (m</t>
    </r>
    <r>
      <rPr>
        <vertAlign val="superscript"/>
        <sz val="11"/>
        <color theme="1"/>
        <rFont val="Calibri"/>
        <family val="2"/>
        <scheme val="minor"/>
      </rPr>
      <t>2</t>
    </r>
    <r>
      <rPr>
        <sz val="11"/>
        <color theme="1"/>
        <rFont val="Calibri"/>
        <family val="2"/>
        <scheme val="minor"/>
      </rPr>
      <t>)</t>
    </r>
  </si>
  <si>
    <t>(in.)</t>
  </si>
  <si>
    <t>Initial Port Diameter (m)</t>
  </si>
  <si>
    <t>(cm)</t>
  </si>
  <si>
    <t>Port Length (m)</t>
  </si>
  <si>
    <t>Final Diameter (m)</t>
  </si>
  <si>
    <t>Web Thickness, w (m)</t>
  </si>
  <si>
    <t>Wet Mass (initial)</t>
  </si>
  <si>
    <t>Mass of Propellant</t>
  </si>
  <si>
    <t>Mass pf Fuel</t>
  </si>
  <si>
    <t>Mass of Oxidizer</t>
  </si>
  <si>
    <t>Inert Mass</t>
  </si>
  <si>
    <t>Propellant Mass Flow</t>
  </si>
  <si>
    <t>Fuel Mass Flow</t>
  </si>
  <si>
    <t>Oxidizer Mass Flow</t>
  </si>
  <si>
    <t>This should be 3.5 inches</t>
  </si>
  <si>
    <t>Use Goal Seek on Gox to find the G for a desired initial port diameter, length, etc.</t>
  </si>
  <si>
    <t>Nozzle Geometry</t>
  </si>
  <si>
    <t>Engine Efficiency</t>
  </si>
  <si>
    <r>
      <t>A</t>
    </r>
    <r>
      <rPr>
        <vertAlign val="subscript"/>
        <sz val="11"/>
        <color theme="1"/>
        <rFont val="Calibri"/>
        <family val="2"/>
        <scheme val="minor"/>
      </rPr>
      <t>t</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t>
    </r>
  </si>
  <si>
    <r>
      <t>A</t>
    </r>
    <r>
      <rPr>
        <vertAlign val="subscript"/>
        <sz val="11"/>
        <color theme="1"/>
        <rFont val="Calibri"/>
        <family val="2"/>
        <scheme val="minor"/>
      </rPr>
      <t>e</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t>
    </r>
  </si>
  <si>
    <r>
      <t>d</t>
    </r>
    <r>
      <rPr>
        <vertAlign val="subscript"/>
        <sz val="11"/>
        <color theme="1"/>
        <rFont val="Calibri"/>
        <family val="2"/>
        <scheme val="minor"/>
      </rPr>
      <t>t</t>
    </r>
    <r>
      <rPr>
        <sz val="11"/>
        <color theme="1"/>
        <rFont val="Calibri"/>
        <family val="2"/>
        <scheme val="minor"/>
      </rPr>
      <t xml:space="preserve"> (m</t>
    </r>
    <r>
      <rPr>
        <sz val="11"/>
        <color theme="1"/>
        <rFont val="Calibri"/>
        <family val="2"/>
        <scheme val="minor"/>
      </rPr>
      <t>)</t>
    </r>
  </si>
  <si>
    <r>
      <t>d</t>
    </r>
    <r>
      <rPr>
        <vertAlign val="subscript"/>
        <sz val="11"/>
        <color theme="1"/>
        <rFont val="Calibri"/>
        <family val="2"/>
        <scheme val="minor"/>
      </rPr>
      <t>e</t>
    </r>
    <r>
      <rPr>
        <sz val="11"/>
        <color theme="1"/>
        <rFont val="Calibri"/>
        <family val="2"/>
        <scheme val="minor"/>
      </rPr>
      <t xml:space="preserve"> (m)</t>
    </r>
  </si>
  <si>
    <t>Actual Nozzle Geometry</t>
  </si>
  <si>
    <t>Throat Area</t>
  </si>
  <si>
    <t>Exit Area</t>
  </si>
  <si>
    <t>Expansion Area Ratio</t>
  </si>
  <si>
    <t>Throat Diameter</t>
  </si>
  <si>
    <t>Exit Diameter</t>
  </si>
  <si>
    <t>DESIGN OUTPUTS</t>
  </si>
  <si>
    <t>iterations</t>
  </si>
  <si>
    <t>dt</t>
  </si>
  <si>
    <t>a_launch</t>
  </si>
  <si>
    <t>P_a</t>
  </si>
  <si>
    <t>T_a</t>
  </si>
  <si>
    <t>m_f</t>
  </si>
  <si>
    <t>m_fuel</t>
  </si>
  <si>
    <t>rho_fuel</t>
  </si>
  <si>
    <t>m_ox</t>
  </si>
  <si>
    <t>V_tank</t>
  </si>
  <si>
    <t>m_tank</t>
  </si>
  <si>
    <t>n_reg</t>
  </si>
  <si>
    <t>num_ports</t>
  </si>
  <si>
    <t>L</t>
  </si>
  <si>
    <t>w</t>
  </si>
  <si>
    <t>r_f_outer</t>
  </si>
  <si>
    <t>A_t</t>
  </si>
  <si>
    <t>A_e</t>
  </si>
  <si>
    <t>Nose Diameter D</t>
  </si>
  <si>
    <t>A_Injector</t>
  </si>
  <si>
    <t>Cd_injector</t>
  </si>
  <si>
    <t>combustion efficiency</t>
  </si>
  <si>
    <t>nozzle efficiency</t>
  </si>
  <si>
    <t>launch altitude</t>
  </si>
  <si>
    <t>Changes depending on desired Ox Tank Pressure</t>
  </si>
  <si>
    <t>(s)</t>
  </si>
  <si>
    <r>
      <t>(</t>
    </r>
    <r>
      <rPr>
        <sz val="11"/>
        <color theme="1"/>
        <rFont val="Calibri"/>
        <family val="2"/>
      </rPr>
      <t>°</t>
    </r>
    <r>
      <rPr>
        <sz val="11"/>
        <color theme="1"/>
        <rFont val="Calibri"/>
        <family val="2"/>
        <scheme val="minor"/>
      </rPr>
      <t>)</t>
    </r>
  </si>
  <si>
    <t>(Pa)</t>
  </si>
  <si>
    <t>(K)</t>
  </si>
  <si>
    <t xml:space="preserve">Must be greater than 0.0113 </t>
  </si>
  <si>
    <t>(kg)</t>
  </si>
  <si>
    <t>(m)</t>
  </si>
  <si>
    <r>
      <t>P</t>
    </r>
    <r>
      <rPr>
        <vertAlign val="subscript"/>
        <sz val="11"/>
        <color theme="1"/>
        <rFont val="Calibri"/>
        <family val="2"/>
        <scheme val="minor"/>
      </rPr>
      <t>ox</t>
    </r>
    <r>
      <rPr>
        <sz val="11"/>
        <color theme="1"/>
        <rFont val="Calibri"/>
        <family val="2"/>
        <scheme val="minor"/>
      </rPr>
      <t xml:space="preserve"> </t>
    </r>
  </si>
  <si>
    <t>D (mm)</t>
  </si>
  <si>
    <t xml:space="preserve">NPS 5 Pipe Rocket Diameter </t>
  </si>
  <si>
    <r>
      <t>(m</t>
    </r>
    <r>
      <rPr>
        <vertAlign val="superscript"/>
        <sz val="11"/>
        <color theme="1"/>
        <rFont val="Calibri"/>
        <family val="2"/>
        <scheme val="minor"/>
      </rPr>
      <t>3</t>
    </r>
    <r>
      <rPr>
        <sz val="11"/>
        <color theme="1"/>
        <rFont val="Calibri"/>
        <family val="2"/>
        <scheme val="minor"/>
      </rPr>
      <t>)</t>
    </r>
  </si>
  <si>
    <r>
      <t>(m</t>
    </r>
    <r>
      <rPr>
        <sz val="11"/>
        <color theme="1"/>
        <rFont val="Calibri"/>
        <family val="2"/>
        <scheme val="minor"/>
      </rPr>
      <t>)</t>
    </r>
  </si>
  <si>
    <r>
      <t>(m</t>
    </r>
    <r>
      <rPr>
        <vertAlign val="superscript"/>
        <sz val="11"/>
        <color theme="1"/>
        <rFont val="Calibri"/>
        <family val="2"/>
        <scheme val="minor"/>
      </rPr>
      <t>2</t>
    </r>
    <r>
      <rPr>
        <sz val="11"/>
        <color theme="1"/>
        <rFont val="Calibri"/>
        <family val="2"/>
        <scheme val="minor"/>
      </rPr>
      <t>)</t>
    </r>
  </si>
  <si>
    <t>Visualizing the effect of Exit Pressure on Design</t>
  </si>
  <si>
    <t>Fuel Core Geometry</t>
  </si>
  <si>
    <t>The following spreadsheet is a practical tool for the design of hybrid rocket burning nitrous oxide and parafin wax. The principal advantage of the spreadsheet is the insight it provides the user with regards to the effect of varying certain inputs and how they affect the overall geometry of the fuel grain and propellant requirements. Fuel core geometry is exported to a MATLAB simulation.</t>
  </si>
  <si>
    <r>
      <t>P</t>
    </r>
    <r>
      <rPr>
        <vertAlign val="subscript"/>
        <sz val="11"/>
        <color theme="1"/>
        <rFont val="Calibri"/>
        <family val="2"/>
        <scheme val="minor"/>
      </rPr>
      <t>cc</t>
    </r>
    <r>
      <rPr>
        <sz val="11"/>
        <color theme="1"/>
        <rFont val="Calibri"/>
        <family val="2"/>
        <scheme val="minor"/>
      </rPr>
      <t xml:space="preserve"> </t>
    </r>
  </si>
  <si>
    <t>Design variables</t>
  </si>
  <si>
    <t>Outputs</t>
  </si>
  <si>
    <r>
      <t xml:space="preserve">This is a representative injector area to force our desired mass flow rate. </t>
    </r>
    <r>
      <rPr>
        <b/>
        <i/>
        <u/>
        <sz val="11"/>
        <color rgb="FF7F7F7F"/>
        <rFont val="Calibri"/>
        <family val="2"/>
        <scheme val="minor"/>
      </rPr>
      <t>Do not use for actual design</t>
    </r>
    <r>
      <rPr>
        <i/>
        <sz val="11"/>
        <color rgb="FF7F7F7F"/>
        <rFont val="Calibri"/>
        <family val="2"/>
        <scheme val="minor"/>
      </rPr>
      <t>!</t>
    </r>
  </si>
  <si>
    <t>Altitude above sea level of Spaceport America</t>
  </si>
  <si>
    <t>Desired simulation timestep</t>
  </si>
  <si>
    <t>Launch angle with respect to the vertical</t>
  </si>
  <si>
    <t>Colored cells affect each other</t>
  </si>
  <si>
    <r>
      <rPr>
        <b/>
        <sz val="11"/>
        <color theme="1"/>
        <rFont val="Calibri"/>
        <family val="2"/>
        <scheme val="minor"/>
      </rPr>
      <t>Note:</t>
    </r>
    <r>
      <rPr>
        <sz val="11"/>
        <color theme="1"/>
        <rFont val="Calibri"/>
        <family val="2"/>
        <scheme val="minor"/>
      </rPr>
      <t xml:space="preserve"> This spreadsheet requires the user to be familiar with the goal seek function to set all colored boxes to the correct values by varying higher level parameters. An example is goal seeking the final diameter to 3.5 in by varying the initial ox flux. The goal seek tool can be found under the Data tab located above, in the Forecast section under What-If Analysis.</t>
    </r>
  </si>
  <si>
    <t>rocket length</t>
  </si>
  <si>
    <t xml:space="preserve">NPS Pipe </t>
  </si>
  <si>
    <t>NPS</t>
  </si>
  <si>
    <t>Key Outputs</t>
  </si>
  <si>
    <r>
      <t>(cm</t>
    </r>
    <r>
      <rPr>
        <vertAlign val="superscript"/>
        <sz val="11"/>
        <color theme="1"/>
        <rFont val="Calibri"/>
        <family val="2"/>
        <scheme val="minor"/>
      </rPr>
      <t>2</t>
    </r>
    <r>
      <rPr>
        <sz val="11"/>
        <color theme="1"/>
        <rFont val="Calibri"/>
        <family val="2"/>
        <scheme val="minor"/>
      </rPr>
      <t>)</t>
    </r>
  </si>
  <si>
    <t>OF ratio:</t>
  </si>
  <si>
    <t>Combustion chamber pressure:</t>
  </si>
  <si>
    <t>Liner Thickness</t>
  </si>
  <si>
    <t>NPS 6</t>
  </si>
  <si>
    <t>max fuel OD</t>
  </si>
  <si>
    <t>Thrust [kN]</t>
  </si>
  <si>
    <t>TWR at launch</t>
  </si>
  <si>
    <t>Dry Mass [kg]</t>
  </si>
  <si>
    <t>Wet Mass [kg]</t>
  </si>
  <si>
    <t>Ox Mass [kg]</t>
  </si>
  <si>
    <t>Fuel Mass [kg]</t>
  </si>
  <si>
    <t>Ox Mass Flow Rate [kg/s]</t>
  </si>
  <si>
    <t>Burn Time (s)</t>
  </si>
  <si>
    <t>Burnout Altitude (km)</t>
  </si>
  <si>
    <t>Total Impulse (kNs)</t>
  </si>
  <si>
    <t>Rocket Length (m)</t>
  </si>
  <si>
    <t>Ox Tank Length (m)</t>
  </si>
  <si>
    <t>Combustiom Chamber Length (m)</t>
  </si>
  <si>
    <t>UTAT Rocketry - Preliminary Results for Deliverance</t>
  </si>
  <si>
    <t>Mass of Fuel</t>
  </si>
  <si>
    <t xml:space="preserve">Launch angle with respect to the vertical </t>
  </si>
  <si>
    <t>Altitude (km)</t>
  </si>
  <si>
    <t>Inert Mass Fraction</t>
  </si>
  <si>
    <t>The following results are for a next generation design heavily  based off Deliverance II. This preliminary design was pushed to it's limit, which is defined by the max fuel core diameter and pipe sized used. Note: 3/4" must be subtracted from the inner pipe diameter to account for the 3/8" thick liner between the inner pipe and outer fuel core. Note: the original design involed using a standard pipe as oxidizer tank, and one pipe size smaller for combustion chamber. THe modified design involves using the same sized pipe for both.</t>
  </si>
  <si>
    <t>Dry Mass (final)</t>
  </si>
  <si>
    <t>Result Plots for Deliverance if both the oxidizer tank and combustion chamber are made of NPS 6 pipes. Design Thrust is 7.5 kN and an extra inch was added to the outer diamete to account for a carbon fiber sleeve.</t>
  </si>
  <si>
    <t>gamma</t>
  </si>
  <si>
    <t>T (K)</t>
  </si>
  <si>
    <t>mw (g/mol)</t>
  </si>
  <si>
    <t>Optimizing Oxidizer to Fuel Mixture for UTAT Rocketry Record Breaking rocket</t>
  </si>
  <si>
    <t>https://www.grc.nasa.gov/www/CEAWeb/</t>
  </si>
  <si>
    <t>Assumptions:</t>
  </si>
  <si>
    <t>Isentropic Flow with no losses</t>
  </si>
  <si>
    <r>
      <rPr>
        <b/>
        <sz val="11"/>
        <color theme="1"/>
        <rFont val="Calibri"/>
        <family val="2"/>
        <scheme val="minor"/>
      </rPr>
      <t>Author:</t>
    </r>
    <r>
      <rPr>
        <sz val="11"/>
        <color theme="1"/>
        <rFont val="Calibri"/>
        <family val="2"/>
        <scheme val="minor"/>
      </rPr>
      <t xml:space="preserve"> Andreas Marquis</t>
    </r>
  </si>
  <si>
    <r>
      <t>a</t>
    </r>
    <r>
      <rPr>
        <b/>
        <vertAlign val="subscript"/>
        <sz val="11"/>
        <color theme="1"/>
        <rFont val="Calibri"/>
        <family val="2"/>
        <scheme val="minor"/>
      </rPr>
      <t>0</t>
    </r>
    <r>
      <rPr>
        <b/>
        <sz val="11"/>
        <color theme="1"/>
        <rFont val="Calibri"/>
        <family val="2"/>
        <scheme val="minor"/>
      </rPr>
      <t xml:space="preserve"> (m/s)</t>
    </r>
  </si>
  <si>
    <r>
      <t>c</t>
    </r>
    <r>
      <rPr>
        <b/>
        <vertAlign val="superscript"/>
        <sz val="11"/>
        <color theme="1"/>
        <rFont val="Calibri"/>
        <family val="2"/>
        <scheme val="minor"/>
      </rPr>
      <t xml:space="preserve">* </t>
    </r>
    <r>
      <rPr>
        <b/>
        <sz val="11"/>
        <color theme="1"/>
        <rFont val="Calibri"/>
        <family val="2"/>
        <scheme val="minor"/>
      </rPr>
      <t>(m/s)</t>
    </r>
  </si>
  <si>
    <r>
      <t>I</t>
    </r>
    <r>
      <rPr>
        <b/>
        <vertAlign val="subscript"/>
        <sz val="11"/>
        <color theme="1"/>
        <rFont val="Calibri"/>
        <family val="2"/>
        <scheme val="minor"/>
      </rPr>
      <t xml:space="preserve">sp </t>
    </r>
    <r>
      <rPr>
        <b/>
        <sz val="11"/>
        <color theme="1"/>
        <rFont val="Calibri"/>
        <family val="2"/>
        <scheme val="minor"/>
      </rPr>
      <t>(s)</t>
    </r>
  </si>
  <si>
    <t>90% combustion efficiency</t>
  </si>
  <si>
    <t>90% nozzle efficiency</t>
  </si>
  <si>
    <t xml:space="preserve">Highest theoretical performance in vaccum </t>
  </si>
  <si>
    <t>NPS 5</t>
  </si>
  <si>
    <t>NPS 8</t>
  </si>
  <si>
    <t>two pipes</t>
  </si>
  <si>
    <t>one pipe</t>
  </si>
  <si>
    <t>Defiance Preliminary Design</t>
  </si>
  <si>
    <t>L/D ratio</t>
  </si>
  <si>
    <t>Diameter</t>
  </si>
  <si>
    <t>Initial Port Diameter (cm)</t>
  </si>
  <si>
    <t>Assumptions: 10° launch angle, 350 psi chamber pressure, 650 kg/m^2s Ox Flux, launch from sea level, and an extra inch in diameter for the modified version. Also Assuming 8" total allocated to a pre and post-combustor. Each can be changed to increase potential performance.</t>
  </si>
  <si>
    <t>Pe</t>
  </si>
  <si>
    <t>Pc</t>
  </si>
  <si>
    <t>Exit Pressure equal to ambient at 2/3 burnout altitude</t>
  </si>
  <si>
    <t>Thermodynamic parameters do not vary much across 200 to 400 psi combustion pressure range</t>
  </si>
  <si>
    <t>C</t>
  </si>
  <si>
    <t xml:space="preserve">1.576 kg/s </t>
  </si>
  <si>
    <r>
      <t xml:space="preserve">This is a representative injector area to force our desired mass flow rate. </t>
    </r>
    <r>
      <rPr>
        <b/>
        <u/>
        <sz val="11"/>
        <color theme="1"/>
        <rFont val="Calibri"/>
        <family val="2"/>
        <scheme val="minor"/>
      </rPr>
      <t>Do not use for actual design</t>
    </r>
    <r>
      <rPr>
        <sz val="11"/>
        <color theme="1"/>
        <rFont val="Calibri"/>
        <family val="2"/>
        <scheme val="minor"/>
      </rPr>
      <t>!</t>
    </r>
  </si>
  <si>
    <r>
      <rPr>
        <b/>
        <sz val="11"/>
        <color theme="1"/>
        <rFont val="Calibri"/>
        <family val="2"/>
        <scheme val="minor"/>
      </rPr>
      <t>Note:</t>
    </r>
    <r>
      <rPr>
        <sz val="11"/>
        <color theme="1"/>
        <rFont val="Calibri"/>
        <family val="2"/>
        <scheme val="minor"/>
      </rPr>
      <t xml:space="preserve"> Data taken from NASA Chemical Equilibrium with Applications (CEA) program available online for calculating thermodynamic properties for any set of reactants (assuming frozen flow which I believe Mitchell said was wrong, so lol)</t>
    </r>
  </si>
  <si>
    <t xml:space="preserve">This was the intended amount of oxidizer </t>
  </si>
  <si>
    <t>(kg/m3)</t>
  </si>
  <si>
    <r>
      <rPr>
        <b/>
        <sz val="11"/>
        <color theme="1"/>
        <rFont val="Calibri"/>
        <family val="2"/>
        <scheme val="minor"/>
      </rPr>
      <t>Last Revision</t>
    </r>
    <r>
      <rPr>
        <sz val="11"/>
        <color theme="1"/>
        <rFont val="Calibri"/>
        <family val="2"/>
        <scheme val="minor"/>
      </rPr>
      <t>: October 26, 2019</t>
    </r>
  </si>
  <si>
    <r>
      <rPr>
        <b/>
        <sz val="11"/>
        <color theme="1"/>
        <rFont val="Calibri"/>
        <family val="2"/>
        <scheme val="minor"/>
      </rPr>
      <t>Authors:</t>
    </r>
    <r>
      <rPr>
        <sz val="11"/>
        <color theme="1"/>
        <rFont val="Calibri"/>
        <family val="2"/>
        <scheme val="minor"/>
      </rPr>
      <t xml:space="preserve"> Thomas Leung, Mitchell Passareli, Andreas Marquis, Jacob Weber</t>
    </r>
  </si>
  <si>
    <r>
      <t>f</t>
    </r>
    <r>
      <rPr>
        <vertAlign val="subscript"/>
        <sz val="11"/>
        <color theme="1"/>
        <rFont val="Calibri"/>
        <family val="2"/>
      </rPr>
      <t>inert</t>
    </r>
    <r>
      <rPr>
        <sz val="11"/>
        <color theme="1"/>
        <rFont val="Calibri"/>
        <family val="2"/>
      </rPr>
      <t xml:space="preserve"> (DAQ)</t>
    </r>
  </si>
  <si>
    <r>
      <rPr>
        <sz val="11"/>
        <color theme="1"/>
        <rFont val="Calibri"/>
        <family val="2"/>
      </rPr>
      <t>ΔP</t>
    </r>
    <r>
      <rPr>
        <vertAlign val="subscript"/>
        <sz val="11"/>
        <color theme="1"/>
        <rFont val="Calibri"/>
        <family val="2"/>
      </rPr>
      <t>dyn</t>
    </r>
    <r>
      <rPr>
        <sz val="11"/>
        <color theme="1"/>
        <rFont val="Calibri"/>
        <family val="2"/>
      </rPr>
      <t xml:space="preserve"> (kPa)</t>
    </r>
  </si>
  <si>
    <r>
      <t>ΔP</t>
    </r>
    <r>
      <rPr>
        <vertAlign val="subscript"/>
        <sz val="11"/>
        <color theme="1"/>
        <rFont val="Calibri"/>
        <family val="2"/>
      </rPr>
      <t>feed</t>
    </r>
    <r>
      <rPr>
        <sz val="11"/>
        <color theme="1"/>
        <rFont val="Calibri"/>
        <family val="2"/>
      </rPr>
      <t xml:space="preserve"> (kPa)</t>
    </r>
  </si>
  <si>
    <r>
      <rPr>
        <sz val="11"/>
        <color theme="1"/>
        <rFont val="Calibri"/>
        <family val="2"/>
      </rPr>
      <t>ΔP</t>
    </r>
    <r>
      <rPr>
        <vertAlign val="subscript"/>
        <sz val="11"/>
        <color theme="1"/>
        <rFont val="Calibri"/>
        <family val="2"/>
      </rPr>
      <t>inj</t>
    </r>
    <r>
      <rPr>
        <sz val="11"/>
        <color theme="1"/>
        <rFont val="Calibri"/>
        <family val="2"/>
      </rPr>
      <t xml:space="preserve"> (kPa)</t>
    </r>
  </si>
  <si>
    <t>Negligible because of design.</t>
  </si>
  <si>
    <t>I think we can neglect this one too.</t>
  </si>
  <si>
    <t>(psi)</t>
  </si>
  <si>
    <t>See Humble Ch. 5 for bell nozzle design.</t>
  </si>
  <si>
    <t>Equation for c* assumes choked flow.</t>
  </si>
  <si>
    <r>
      <t xml:space="preserve">Eq. for </t>
    </r>
    <r>
      <rPr>
        <sz val="11"/>
        <color theme="1"/>
        <rFont val="Calibri"/>
        <family val="2"/>
      </rPr>
      <t>ε changes exit A to force choked flow.</t>
    </r>
  </si>
  <si>
    <t>Characteristic Post Combustor Length, L*</t>
  </si>
  <si>
    <t>Using m = 0 for the length exponent.</t>
  </si>
  <si>
    <t>Number of interations</t>
  </si>
  <si>
    <t>Ambient pressure at launch altitude (Pa).</t>
  </si>
  <si>
    <t>Ambient temperature at launch altitude (K). Changes depending on desired Ox Tank Pressure</t>
  </si>
  <si>
    <t>Rocket dry mass</t>
  </si>
  <si>
    <t>Fuel mass</t>
  </si>
  <si>
    <t>Fuel density</t>
  </si>
  <si>
    <t>Oxidizer mass</t>
  </si>
  <si>
    <t>Regression rate coefficient</t>
  </si>
  <si>
    <t>(m/s^2)</t>
  </si>
  <si>
    <t>Regression rate exponent.</t>
  </si>
  <si>
    <t>number of combustion ports in fuel grain.</t>
  </si>
  <si>
    <t>Fuel core length.</t>
  </si>
  <si>
    <t>Initial fuel web thickness.</t>
  </si>
  <si>
    <t>Inner combustion chamber radius/outer fuel core radius</t>
  </si>
  <si>
    <t>[Initial] nozzle throat area</t>
  </si>
  <si>
    <t>Nozzle exit area</t>
  </si>
  <si>
    <t>Diameter of rocket</t>
  </si>
  <si>
    <t>Injector discharge coefficient</t>
  </si>
  <si>
    <t>Pipe size</t>
  </si>
  <si>
    <t>Ox tnak pressure</t>
  </si>
  <si>
    <t>Combustion chamber pressure</t>
  </si>
  <si>
    <t>Injector area (m2)</t>
  </si>
  <si>
    <t>Discharge coef</t>
  </si>
  <si>
    <t>old formula</t>
  </si>
  <si>
    <t>Injector Geometry</t>
  </si>
  <si>
    <t>Emerson's design</t>
  </si>
  <si>
    <t>Ideal</t>
  </si>
  <si>
    <t>Injector area</t>
  </si>
  <si>
    <t>Combustion efficiency</t>
  </si>
  <si>
    <t>Nozzle efficiency</t>
  </si>
  <si>
    <t>Rocket length</t>
  </si>
  <si>
    <t>Dry mass of ox tank, estimated from Deliverance II, maybe should be updated as an actual input</t>
  </si>
  <si>
    <t xml:space="preserve">Tank volume. Assumes density of nitrous?  Plus 10% ullage Must be greater than 0.0113 </t>
  </si>
  <si>
    <t>Use 0.2 Pcc for design estimate</t>
  </si>
  <si>
    <t>length</t>
  </si>
  <si>
    <t>Isp Avg</t>
  </si>
  <si>
    <t>Isp Init</t>
  </si>
  <si>
    <t>at 2/3 Burnout Altitude</t>
  </si>
  <si>
    <t>This should be 4.85 in. for 5 mm liner thickness</t>
  </si>
  <si>
    <t>Wot?Not used anywhere</t>
  </si>
  <si>
    <t>This was from before when we didn't have a size or length for the rocket</t>
  </si>
  <si>
    <t>ft</t>
  </si>
  <si>
    <t>Get from injector bois</t>
  </si>
  <si>
    <t>this is jank for nitrous</t>
  </si>
  <si>
    <t xml:space="preserve">w/o caps </t>
  </si>
  <si>
    <t>CFB Cold Lake</t>
  </si>
  <si>
    <r>
      <rPr>
        <b/>
        <sz val="11"/>
        <color theme="1"/>
        <rFont val="Calibri"/>
        <family val="2"/>
        <scheme val="minor"/>
      </rPr>
      <t>Note:</t>
    </r>
    <r>
      <rPr>
        <sz val="11"/>
        <color theme="1"/>
        <rFont val="Calibri"/>
        <family val="2"/>
        <scheme val="minor"/>
      </rPr>
      <t xml:space="preserve"> This spreadsheet requires the user to be familiar with the goal seek function to set all colored boxes to the correct values by varying higher level parameters. An example is goal seeking the final diameter to 3.5 in by varying the initial ox flux. The goal seek tool can be found under the Data tab located above, in the Forecast section under What-If Analysis. Or you can now just press the button below and it runs in a macro!</t>
    </r>
  </si>
  <si>
    <t>Density of Nitrous at Pox and Ta</t>
  </si>
  <si>
    <r>
      <t xml:space="preserve">The following spreadsheet is a practical tool for the design of hybrid rocket burning nitrous oxide and parafin wax. The principal advantage of the spreadsheet is the insight it provides the user with regards to the effect of varying certain inputs and how they affect the overall geometry of the fuel grain and propellant requirements. Fuel core geometry is exported to a MATLAB simulation. </t>
    </r>
    <r>
      <rPr>
        <b/>
        <sz val="11"/>
        <color theme="1"/>
        <rFont val="Calibri"/>
        <family val="2"/>
        <scheme val="minor"/>
      </rPr>
      <t xml:space="preserve">Note that you must have the CoolProp Excel Addin Installed </t>
    </r>
  </si>
  <si>
    <t>Oxidizer Properties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</si>
</sst>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000"/>
    <numFmt numFmtId="165" formatCode="0.000"/>
    <numFmt numFmtId="166" formatCode="0.00000"/>
    <numFmt numFmtId="167" formatCode="0.000000"/>
    <numFmt numFmtId="168" formatCode="0.0000000"/>
    <numFmt numFmtId="169" formatCode="0.0"/>
  </numFmts>
  <fonts count="31" x14ac:knownFonts="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i/>
      <sz val="11"/>
      <color rgb="FF7F7F7F"/>
      <name val="Calibri"/>
      <family val="2"/>
      <scheme val="minor"/>
    </font>
    <font>
      <b/>
      <sz val="11"/>
      <color theme="1"/>
      <name val="Calibri"/>
      <family val="2"/>
      <scheme val="minor"/>
    </font>
    <font>
      <b/>
      <sz val="11"/>
      <color rgb="FF222222"/>
      <name val="Calibri"/>
      <family val="2"/>
      <scheme val="minor"/>
    </font>
    <font>
      <vertAlign val="subscript"/>
      <sz val="11"/>
      <color theme="1"/>
      <name val="Calibri"/>
      <family val="2"/>
      <scheme val="minor"/>
    </font>
    <font>
      <sz val="11"/>
      <color theme="1"/>
      <name val="Calibri"/>
      <family val="2"/>
    </font>
    <font>
      <vertAlign val="subscript"/>
      <sz val="11"/>
      <color theme="1"/>
      <name val="Calibri"/>
      <family val="2"/>
    </font>
    <font>
      <i/>
      <u/>
      <sz val="11"/>
      <color theme="1"/>
      <name val="Calibri"/>
      <family val="2"/>
      <scheme val="minor"/>
    </font>
    <font>
      <b/>
      <sz val="9"/>
      <color indexed="81"/>
      <name val="Tahoma"/>
      <family val="2"/>
    </font>
    <font>
      <sz val="9"/>
      <color indexed="81"/>
      <name val="Tahoma"/>
      <family val="2"/>
    </font>
    <font>
      <vertAlign val="superscript"/>
      <sz val="11"/>
      <color theme="1"/>
      <name val="Calibri"/>
      <family val="2"/>
      <scheme val="minor"/>
    </font>
    <font>
      <b/>
      <sz val="18"/>
      <color theme="1"/>
      <name val="Calibri"/>
      <family val="2"/>
      <scheme val="minor"/>
    </font>
    <font>
      <sz val="11"/>
      <color theme="0"/>
      <name val="Calibri"/>
      <family val="2"/>
      <scheme val="minor"/>
    </font>
    <font>
      <b/>
      <sz val="12"/>
      <name val="Calibri"/>
      <family val="2"/>
      <scheme val="minor"/>
    </font>
    <font>
      <b/>
      <i/>
      <u/>
      <sz val="11"/>
      <color rgb="FF7F7F7F"/>
      <name val="Calibri"/>
      <family val="2"/>
      <scheme val="minor"/>
    </font>
    <font>
      <b/>
      <sz val="11"/>
      <color theme="0"/>
      <name val="Calibri"/>
      <family val="2"/>
      <scheme val="minor"/>
    </font>
    <font>
      <sz val="11"/>
      <name val="Calibri"/>
      <family val="2"/>
      <scheme val="minor"/>
    </font>
    <font>
      <u/>
      <sz val="11"/>
      <color theme="10"/>
      <name val="Calibri"/>
      <family val="2"/>
      <scheme val="minor"/>
    </font>
    <font>
      <b/>
      <vertAlign val="subscript"/>
      <sz val="11"/>
      <color theme="1"/>
      <name val="Calibri"/>
      <family val="2"/>
      <scheme val="minor"/>
    </font>
    <font>
      <b/>
      <vertAlign val="superscript"/>
      <sz val="11"/>
      <color theme="1"/>
      <name val="Calibri"/>
      <family val="2"/>
      <scheme val="minor"/>
    </font>
    <font>
      <b/>
      <sz val="11"/>
      <color rgb="FFFA7D00"/>
      <name val="Calibri"/>
      <family val="2"/>
      <scheme val="minor"/>
    </font>
    <font>
      <sz val="11"/>
      <color theme="1"/>
      <name val="Calibri"/>
      <family val="2"/>
      <scheme val="minor"/>
    </font>
    <font>
      <i/>
      <sz val="11"/>
      <color rgb="FF7F7F7F"/>
      <name val="Calibri"/>
      <family val="2"/>
      <scheme val="minor"/>
    </font>
    <font>
      <sz val="11"/>
      <color rgb="FF3F3F76"/>
      <name val="Calibri"/>
      <family val="2"/>
      <scheme val="minor"/>
    </font>
    <font>
      <b/>
      <u/>
      <sz val="11"/>
      <color theme="1"/>
      <name val="Calibri"/>
      <family val="2"/>
      <scheme val="minor"/>
    </font>
    <font>
      <b/>
      <sz val="11"/>
      <color rgb="FFFA7D00"/>
      <name val="Calibri"/>
      <family val="2"/>
      <scheme val="minor"/>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9" tint="0.59999389629810485"/>
        <bgColor indexed="65"/>
      </patternFill>
    </fill>
    <fill>
      <patternFill patternType="solid">
        <fgColor theme="4"/>
      </patternFill>
    </fill>
    <fill>
      <patternFill patternType="solid">
        <fgColor theme="4" tint="0.39997558519241921"/>
        <bgColor indexed="65"/>
      </patternFill>
    </fill>
    <fill>
      <patternFill patternType="solid">
        <fgColor theme="7" tint="0.39997558519241921"/>
        <bgColor indexed="65"/>
      </patternFill>
    </fill>
    <fill>
      <patternFill patternType="solid">
        <fgColor theme="9" tint="0.39997558519241921"/>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rgb="FFA5A5A5"/>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top/>
      <bottom/>
      <diagonal/>
    </border>
    <border>
      <left style="thin">
        <color rgb="FF3F3F3F"/>
      </left>
      <right/>
      <top/>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double">
        <color rgb="FF3F3F3F"/>
      </top>
      <bottom style="double">
        <color rgb="FF3F3F3F"/>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18">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9" applyNumberFormat="0" applyAlignment="0" applyProtection="0"/>
    <xf numFmtId="0" fontId="5" fillId="5" borderId="10" applyNumberFormat="0" applyAlignment="0" applyProtection="0"/>
    <xf numFmtId="0" fontId="1" fillId="6" borderId="11" applyNumberFormat="0" applyFont="0" applyAlignment="0" applyProtection="0"/>
    <xf numFmtId="0" fontId="6" fillId="0" borderId="0" applyNumberFormat="0" applyFill="0" applyBorder="0" applyAlignment="0" applyProtection="0"/>
    <xf numFmtId="0" fontId="1" fillId="7" borderId="0" applyNumberFormat="0" applyBorder="0" applyAlignment="0" applyProtection="0"/>
    <xf numFmtId="0" fontId="17"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0" fillId="14" borderId="25" applyNumberFormat="0" applyAlignment="0" applyProtection="0"/>
    <xf numFmtId="0" fontId="22" fillId="0" borderId="0" applyNumberFormat="0" applyFill="0" applyBorder="0" applyAlignment="0" applyProtection="0"/>
    <xf numFmtId="0" fontId="25" fillId="5" borderId="9" applyNumberFormat="0" applyAlignment="0" applyProtection="0"/>
    <xf numFmtId="43" fontId="1" fillId="0" borderId="0" applyFont="0" applyFill="0" applyBorder="0" applyAlignment="0" applyProtection="0"/>
  </cellStyleXfs>
  <cellXfs count="223">
    <xf numFmtId="0" fontId="0" fillId="0" borderId="0" xfId="0"/>
    <xf numFmtId="0" fontId="0" fillId="0" borderId="0" xfId="0" applyBorder="1" applyAlignment="1">
      <alignment vertical="center"/>
    </xf>
    <xf numFmtId="0" fontId="0" fillId="0" borderId="0" xfId="0" applyAlignment="1">
      <alignment horizontal="center"/>
    </xf>
    <xf numFmtId="0" fontId="0" fillId="0" borderId="0" xfId="0" applyBorder="1" applyAlignment="1">
      <alignment vertical="center" wrapText="1"/>
    </xf>
    <xf numFmtId="0" fontId="0" fillId="0" borderId="0" xfId="0" applyBorder="1"/>
    <xf numFmtId="0" fontId="7" fillId="0" borderId="0" xfId="0" applyFont="1"/>
    <xf numFmtId="0" fontId="0" fillId="0" borderId="0" xfId="0" applyBorder="1" applyAlignment="1"/>
    <xf numFmtId="0" fontId="10" fillId="0" borderId="0" xfId="0" applyFont="1"/>
    <xf numFmtId="0" fontId="12" fillId="0" borderId="0" xfId="0" applyFont="1"/>
    <xf numFmtId="0" fontId="4" fillId="4" borderId="9" xfId="3"/>
    <xf numFmtId="0" fontId="0" fillId="6" borderId="11" xfId="5" applyFont="1"/>
    <xf numFmtId="0" fontId="6" fillId="0" borderId="0" xfId="6"/>
    <xf numFmtId="2" fontId="4" fillId="4" borderId="9" xfId="3" applyNumberFormat="1"/>
    <xf numFmtId="1" fontId="4" fillId="4" borderId="9" xfId="3" applyNumberFormat="1"/>
    <xf numFmtId="2" fontId="0" fillId="0" borderId="0" xfId="0" applyNumberFormat="1"/>
    <xf numFmtId="0" fontId="3" fillId="3" borderId="0" xfId="2"/>
    <xf numFmtId="0" fontId="2" fillId="2" borderId="0" xfId="1"/>
    <xf numFmtId="166" fontId="0" fillId="0" borderId="0" xfId="0" applyNumberFormat="1"/>
    <xf numFmtId="1" fontId="0" fillId="0" borderId="0" xfId="0" applyNumberFormat="1"/>
    <xf numFmtId="0" fontId="1" fillId="7" borderId="0" xfId="7"/>
    <xf numFmtId="2" fontId="1" fillId="7" borderId="0" xfId="7" applyNumberFormat="1"/>
    <xf numFmtId="0" fontId="6" fillId="0" borderId="0" xfId="6" applyAlignment="1">
      <alignment wrapText="1"/>
    </xf>
    <xf numFmtId="0" fontId="6" fillId="0" borderId="0" xfId="6" applyAlignment="1"/>
    <xf numFmtId="0" fontId="0" fillId="0" borderId="2" xfId="0" applyBorder="1"/>
    <xf numFmtId="0" fontId="0" fillId="0" borderId="3" xfId="0" applyBorder="1"/>
    <xf numFmtId="0" fontId="0" fillId="0" borderId="4" xfId="0" applyBorder="1"/>
    <xf numFmtId="0" fontId="0" fillId="0" borderId="5" xfId="0" applyBorder="1"/>
    <xf numFmtId="0" fontId="6" fillId="0" borderId="0" xfId="6" applyBorder="1"/>
    <xf numFmtId="0" fontId="10" fillId="0" borderId="4" xfId="0" applyFont="1" applyBorder="1"/>
    <xf numFmtId="0" fontId="12" fillId="0" borderId="4" xfId="0" applyFont="1" applyBorder="1"/>
    <xf numFmtId="0" fontId="12" fillId="0" borderId="0" xfId="0" applyFont="1" applyBorder="1"/>
    <xf numFmtId="0" fontId="10" fillId="0" borderId="0" xfId="0" applyFont="1" applyBorder="1"/>
    <xf numFmtId="0" fontId="6" fillId="0" borderId="5" xfId="6" applyBorder="1"/>
    <xf numFmtId="0" fontId="0" fillId="0" borderId="7" xfId="0" applyBorder="1"/>
    <xf numFmtId="0" fontId="0" fillId="0" borderId="8" xfId="0" applyBorder="1"/>
    <xf numFmtId="0" fontId="0" fillId="0" borderId="6" xfId="0" applyBorder="1"/>
    <xf numFmtId="0" fontId="0" fillId="0" borderId="1" xfId="0" applyBorder="1"/>
    <xf numFmtId="0" fontId="2" fillId="2" borderId="0" xfId="1" applyBorder="1"/>
    <xf numFmtId="2" fontId="0" fillId="0" borderId="0" xfId="0" applyNumberFormat="1" applyBorder="1"/>
    <xf numFmtId="0" fontId="0" fillId="0" borderId="0" xfId="0" applyBorder="1" applyAlignment="1">
      <alignment horizontal="left"/>
    </xf>
    <xf numFmtId="164" fontId="0" fillId="0" borderId="0" xfId="0" applyNumberFormat="1" applyBorder="1" applyAlignment="1">
      <alignment horizontal="left"/>
    </xf>
    <xf numFmtId="2" fontId="0" fillId="0" borderId="0" xfId="0" applyNumberFormat="1" applyBorder="1" applyAlignment="1">
      <alignment horizontal="left"/>
    </xf>
    <xf numFmtId="0" fontId="0" fillId="0" borderId="0" xfId="0" applyNumberFormat="1"/>
    <xf numFmtId="0" fontId="4" fillId="4" borderId="12" xfId="3" applyBorder="1"/>
    <xf numFmtId="0" fontId="6" fillId="6" borderId="11" xfId="5" applyFont="1"/>
    <xf numFmtId="165" fontId="0" fillId="0" borderId="0" xfId="0" applyNumberFormat="1"/>
    <xf numFmtId="0" fontId="4" fillId="4" borderId="9" xfId="3" applyAlignment="1">
      <alignment wrapText="1"/>
    </xf>
    <xf numFmtId="165" fontId="5" fillId="5" borderId="10" xfId="4" applyNumberFormat="1"/>
    <xf numFmtId="0" fontId="5" fillId="5" borderId="10" xfId="4"/>
    <xf numFmtId="164" fontId="5" fillId="5" borderId="10" xfId="4" applyNumberFormat="1"/>
    <xf numFmtId="1" fontId="5" fillId="5" borderId="10" xfId="4" applyNumberFormat="1"/>
    <xf numFmtId="1" fontId="4" fillId="4" borderId="24" xfId="3" applyNumberFormat="1" applyBorder="1"/>
    <xf numFmtId="1" fontId="18" fillId="9" borderId="13" xfId="9" applyNumberFormat="1" applyFont="1" applyBorder="1"/>
    <xf numFmtId="1" fontId="18" fillId="11" borderId="13" xfId="11" applyNumberFormat="1" applyFont="1" applyBorder="1"/>
    <xf numFmtId="165" fontId="18" fillId="9" borderId="13" xfId="9" applyNumberFormat="1" applyFont="1" applyBorder="1"/>
    <xf numFmtId="165" fontId="18" fillId="11" borderId="13" xfId="11" applyNumberFormat="1" applyFont="1" applyBorder="1"/>
    <xf numFmtId="1" fontId="18" fillId="10" borderId="13" xfId="10" applyNumberFormat="1" applyFont="1" applyBorder="1"/>
    <xf numFmtId="2" fontId="18" fillId="10" borderId="13" xfId="10" applyNumberFormat="1" applyFont="1" applyBorder="1" applyAlignment="1">
      <alignment horizontal="left"/>
    </xf>
    <xf numFmtId="0" fontId="1" fillId="13" borderId="11" xfId="13" applyBorder="1"/>
    <xf numFmtId="164" fontId="0" fillId="0" borderId="0" xfId="0" applyNumberFormat="1"/>
    <xf numFmtId="165" fontId="5" fillId="5" borderId="10" xfId="4" applyNumberFormat="1" applyAlignment="1">
      <alignment horizontal="right"/>
    </xf>
    <xf numFmtId="0" fontId="17" fillId="8" borderId="0" xfId="8"/>
    <xf numFmtId="164" fontId="1" fillId="12" borderId="13" xfId="12" applyNumberFormat="1" applyBorder="1" applyAlignment="1">
      <alignment horizontal="left"/>
    </xf>
    <xf numFmtId="2" fontId="1" fillId="12" borderId="13" xfId="12" applyNumberFormat="1" applyBorder="1"/>
    <xf numFmtId="0" fontId="0" fillId="0" borderId="0" xfId="0" applyAlignment="1">
      <alignment horizontal="center" vertical="center"/>
    </xf>
    <xf numFmtId="0" fontId="0" fillId="0" borderId="0" xfId="0" applyFill="1" applyBorder="1"/>
    <xf numFmtId="165" fontId="1" fillId="13" borderId="13" xfId="13" applyNumberFormat="1" applyBorder="1"/>
    <xf numFmtId="165" fontId="1" fillId="13" borderId="13" xfId="13" applyNumberFormat="1" applyBorder="1" applyAlignment="1">
      <alignment horizontal="right"/>
    </xf>
    <xf numFmtId="2" fontId="2" fillId="2" borderId="0" xfId="1" applyNumberFormat="1"/>
    <xf numFmtId="0" fontId="0" fillId="0" borderId="0" xfId="0" applyAlignment="1">
      <alignment vertical="center"/>
    </xf>
    <xf numFmtId="0" fontId="0" fillId="0" borderId="13" xfId="0" applyBorder="1" applyAlignment="1">
      <alignment horizontal="center" vertical="center"/>
    </xf>
    <xf numFmtId="0" fontId="21" fillId="0" borderId="0" xfId="1" applyFont="1" applyFill="1"/>
    <xf numFmtId="2" fontId="21" fillId="0" borderId="0" xfId="1" applyNumberFormat="1" applyFont="1" applyFill="1"/>
    <xf numFmtId="0" fontId="1" fillId="0" borderId="0" xfId="1" applyFont="1" applyFill="1"/>
    <xf numFmtId="2" fontId="1" fillId="0" borderId="0" xfId="1" applyNumberFormat="1" applyFont="1" applyFill="1"/>
    <xf numFmtId="0" fontId="0" fillId="0" borderId="0" xfId="0" applyAlignment="1">
      <alignment horizontal="center" wrapText="1"/>
    </xf>
    <xf numFmtId="0" fontId="0" fillId="0" borderId="0" xfId="0" applyAlignment="1">
      <alignment horizontal="right" vertical="center"/>
    </xf>
    <xf numFmtId="0" fontId="0" fillId="0" borderId="0" xfId="0" applyBorder="1" applyAlignment="1">
      <alignment horizontal="center"/>
    </xf>
    <xf numFmtId="0" fontId="7" fillId="0" borderId="0" xfId="0" applyFont="1" applyAlignment="1">
      <alignment wrapText="1"/>
    </xf>
    <xf numFmtId="0" fontId="7" fillId="0" borderId="13" xfId="0" applyFont="1" applyBorder="1" applyAlignment="1">
      <alignment horizontal="center"/>
    </xf>
    <xf numFmtId="165" fontId="0" fillId="0" borderId="13" xfId="0" applyNumberFormat="1" applyBorder="1"/>
    <xf numFmtId="0" fontId="0" fillId="0" borderId="0" xfId="0" applyAlignment="1">
      <alignment horizontal="center"/>
    </xf>
    <xf numFmtId="0" fontId="0" fillId="0" borderId="0" xfId="0" applyBorder="1" applyAlignment="1">
      <alignment vertical="top" wrapText="1"/>
    </xf>
    <xf numFmtId="0" fontId="7" fillId="0" borderId="13" xfId="0" applyFont="1" applyFill="1" applyBorder="1" applyAlignment="1">
      <alignment horizontal="center"/>
    </xf>
    <xf numFmtId="165" fontId="0" fillId="0" borderId="13" xfId="0" applyNumberFormat="1" applyFill="1" applyBorder="1"/>
    <xf numFmtId="0" fontId="0" fillId="0" borderId="0" xfId="0" applyBorder="1" applyAlignment="1">
      <alignment horizontal="center" vertical="center"/>
    </xf>
    <xf numFmtId="0" fontId="0" fillId="0" borderId="0" xfId="0" applyAlignment="1">
      <alignment horizontal="right"/>
    </xf>
    <xf numFmtId="0" fontId="6" fillId="0" borderId="0" xfId="6" applyBorder="1" applyAlignment="1">
      <alignment wrapText="1"/>
    </xf>
    <xf numFmtId="0" fontId="6" fillId="0" borderId="0" xfId="6" applyBorder="1" applyAlignment="1">
      <alignment vertical="top" wrapText="1"/>
    </xf>
    <xf numFmtId="0" fontId="7" fillId="0" borderId="0" xfId="0" applyFont="1" applyAlignment="1">
      <alignment vertical="center" wrapText="1"/>
    </xf>
    <xf numFmtId="0" fontId="1" fillId="12" borderId="30" xfId="12" applyBorder="1" applyAlignment="1">
      <alignment horizontal="center" vertical="center"/>
    </xf>
    <xf numFmtId="0" fontId="20" fillId="14" borderId="29" xfId="14" applyBorder="1" applyAlignment="1">
      <alignment horizontal="center" vertical="center"/>
    </xf>
    <xf numFmtId="0" fontId="0" fillId="12" borderId="31" xfId="12" applyFont="1" applyBorder="1" applyAlignment="1">
      <alignment vertical="center"/>
    </xf>
    <xf numFmtId="0" fontId="20" fillId="14" borderId="32" xfId="14" applyBorder="1" applyAlignment="1">
      <alignment vertical="center"/>
    </xf>
    <xf numFmtId="2" fontId="0" fillId="0" borderId="27" xfId="0" applyNumberFormat="1" applyBorder="1" applyAlignment="1">
      <alignment horizontal="center"/>
    </xf>
    <xf numFmtId="2" fontId="0" fillId="0" borderId="28" xfId="0" applyNumberFormat="1" applyBorder="1" applyAlignment="1">
      <alignment horizontal="center"/>
    </xf>
    <xf numFmtId="1" fontId="0" fillId="0" borderId="0" xfId="0" applyNumberFormat="1" applyAlignment="1">
      <alignment horizontal="center"/>
    </xf>
    <xf numFmtId="165" fontId="0" fillId="0" borderId="0" xfId="0" applyNumberFormat="1" applyFill="1" applyBorder="1" applyAlignment="1">
      <alignment horizontal="center"/>
    </xf>
    <xf numFmtId="165" fontId="0" fillId="0" borderId="0" xfId="0" applyNumberFormat="1" applyAlignment="1">
      <alignment horizontal="center"/>
    </xf>
    <xf numFmtId="2" fontId="0" fillId="0" borderId="0" xfId="0" applyNumberFormat="1" applyFill="1" applyBorder="1" applyAlignment="1">
      <alignment horizontal="center"/>
    </xf>
    <xf numFmtId="0" fontId="0" fillId="0" borderId="33" xfId="0" applyBorder="1" applyAlignment="1">
      <alignment horizontal="center"/>
    </xf>
    <xf numFmtId="0" fontId="7" fillId="0" borderId="0" xfId="0" applyFont="1" applyBorder="1" applyAlignment="1">
      <alignment horizontal="center" vertical="center"/>
    </xf>
    <xf numFmtId="0" fontId="0" fillId="0" borderId="13" xfId="0" applyBorder="1" applyAlignment="1">
      <alignment vertical="center"/>
    </xf>
    <xf numFmtId="0" fontId="0" fillId="0" borderId="13" xfId="0" applyBorder="1" applyAlignment="1">
      <alignment vertical="center" wrapText="1"/>
    </xf>
    <xf numFmtId="0" fontId="0" fillId="0" borderId="0" xfId="0" applyBorder="1" applyAlignment="1">
      <alignment horizontal="center"/>
    </xf>
    <xf numFmtId="165" fontId="21" fillId="0" borderId="13" xfId="1" applyNumberFormat="1" applyFont="1" applyFill="1" applyBorder="1"/>
    <xf numFmtId="0" fontId="7" fillId="0" borderId="33" xfId="0" applyFont="1" applyBorder="1" applyAlignment="1">
      <alignment horizontal="center"/>
    </xf>
    <xf numFmtId="164" fontId="0" fillId="0" borderId="13" xfId="0" applyNumberFormat="1" applyBorder="1"/>
    <xf numFmtId="0" fontId="0" fillId="0" borderId="13" xfId="0" applyBorder="1"/>
    <xf numFmtId="2" fontId="0" fillId="0" borderId="13" xfId="0" applyNumberFormat="1" applyBorder="1"/>
    <xf numFmtId="1" fontId="0" fillId="0" borderId="13" xfId="0" applyNumberFormat="1" applyBorder="1"/>
    <xf numFmtId="0" fontId="0" fillId="0" borderId="0" xfId="0" applyFill="1"/>
    <xf numFmtId="167" fontId="0" fillId="0" borderId="0" xfId="0" applyNumberFormat="1"/>
    <xf numFmtId="0" fontId="26" fillId="0" borderId="0" xfId="0" applyFont="1"/>
    <xf numFmtId="0" fontId="26" fillId="0" borderId="0" xfId="0" applyFont="1" applyAlignment="1">
      <alignment horizontal="center"/>
    </xf>
    <xf numFmtId="0" fontId="27" fillId="0" borderId="0" xfId="6" applyFont="1"/>
    <xf numFmtId="0" fontId="28" fillId="4" borderId="9" xfId="3" applyFont="1"/>
    <xf numFmtId="1" fontId="28" fillId="4" borderId="9" xfId="3" applyNumberFormat="1" applyFont="1"/>
    <xf numFmtId="2" fontId="26" fillId="0" borderId="0" xfId="0" applyNumberFormat="1" applyFont="1"/>
    <xf numFmtId="2" fontId="28" fillId="4" borderId="9" xfId="3" applyNumberFormat="1" applyFont="1"/>
    <xf numFmtId="165" fontId="26" fillId="0" borderId="0" xfId="0" applyNumberFormat="1" applyFont="1"/>
    <xf numFmtId="165" fontId="28" fillId="4" borderId="9" xfId="3" applyNumberFormat="1" applyFont="1"/>
    <xf numFmtId="164" fontId="28" fillId="4" borderId="9" xfId="3" applyNumberFormat="1" applyFont="1"/>
    <xf numFmtId="166" fontId="26" fillId="0" borderId="0" xfId="0" applyNumberFormat="1" applyFont="1"/>
    <xf numFmtId="0" fontId="26" fillId="0" borderId="0" xfId="0" applyNumberFormat="1" applyFont="1"/>
    <xf numFmtId="0" fontId="26" fillId="0" borderId="0" xfId="0" applyFont="1" applyBorder="1"/>
    <xf numFmtId="1" fontId="30" fillId="5" borderId="9" xfId="16" applyNumberFormat="1" applyFont="1"/>
    <xf numFmtId="1" fontId="26" fillId="0" borderId="0" xfId="0" applyNumberFormat="1" applyFont="1"/>
    <xf numFmtId="0" fontId="0" fillId="0" borderId="0" xfId="0" applyBorder="1" applyAlignment="1">
      <alignment horizontal="center"/>
    </xf>
    <xf numFmtId="169" fontId="0" fillId="0" borderId="0" xfId="0" applyNumberFormat="1"/>
    <xf numFmtId="2" fontId="5" fillId="5" borderId="10" xfId="4" applyNumberFormat="1"/>
    <xf numFmtId="164" fontId="5" fillId="5" borderId="10" xfId="4" applyNumberFormat="1" applyAlignment="1">
      <alignment horizontal="right"/>
    </xf>
    <xf numFmtId="166" fontId="5" fillId="5" borderId="10" xfId="4" applyNumberFormat="1"/>
    <xf numFmtId="165" fontId="18" fillId="10" borderId="13" xfId="10" applyNumberFormat="1" applyFont="1" applyBorder="1" applyAlignment="1">
      <alignment horizontal="left"/>
    </xf>
    <xf numFmtId="2" fontId="18" fillId="10" borderId="13" xfId="10" applyNumberFormat="1" applyFont="1" applyBorder="1"/>
    <xf numFmtId="166" fontId="3" fillId="3" borderId="0" xfId="2" applyNumberFormat="1"/>
    <xf numFmtId="1" fontId="3" fillId="3" borderId="0" xfId="2" applyNumberFormat="1"/>
    <xf numFmtId="0" fontId="3" fillId="0" borderId="0" xfId="2" applyFill="1"/>
    <xf numFmtId="43" fontId="0" fillId="0" borderId="0" xfId="17" applyFont="1"/>
    <xf numFmtId="164" fontId="3" fillId="3" borderId="0" xfId="2" applyNumberFormat="1"/>
    <xf numFmtId="168" fontId="4" fillId="4" borderId="9" xfId="3" applyNumberFormat="1"/>
    <xf numFmtId="0" fontId="21" fillId="0" borderId="0" xfId="6" applyFont="1" applyFill="1" applyBorder="1"/>
    <xf numFmtId="0" fontId="0" fillId="0" borderId="4" xfId="0" applyFill="1" applyBorder="1"/>
    <xf numFmtId="0" fontId="10" fillId="0" borderId="4" xfId="0" applyFont="1" applyFill="1" applyBorder="1"/>
    <xf numFmtId="0" fontId="10" fillId="0" borderId="0" xfId="0" applyFont="1" applyFill="1"/>
    <xf numFmtId="0" fontId="10" fillId="0" borderId="0" xfId="0" applyFont="1" applyFill="1" applyBorder="1"/>
    <xf numFmtId="164" fontId="0" fillId="0" borderId="0" xfId="0" applyNumberFormat="1" applyFill="1" applyBorder="1"/>
    <xf numFmtId="165" fontId="2" fillId="2" borderId="0" xfId="1" applyNumberFormat="1"/>
    <xf numFmtId="164" fontId="4" fillId="4" borderId="24" xfId="3" applyNumberFormat="1" applyBorder="1"/>
    <xf numFmtId="0" fontId="6" fillId="0" borderId="0" xfId="6" applyAlignment="1">
      <alignment horizontal="center"/>
    </xf>
    <xf numFmtId="0" fontId="0" fillId="6" borderId="14" xfId="5" applyFont="1" applyBorder="1" applyAlignment="1">
      <alignment horizontal="center" vertical="top" wrapText="1"/>
    </xf>
    <xf numFmtId="0" fontId="0" fillId="6" borderId="15" xfId="5" applyFont="1" applyBorder="1" applyAlignment="1">
      <alignment horizontal="center" vertical="top" wrapText="1"/>
    </xf>
    <xf numFmtId="0" fontId="0" fillId="6" borderId="16" xfId="5" applyFont="1" applyBorder="1" applyAlignment="1">
      <alignment horizontal="center" vertical="top" wrapText="1"/>
    </xf>
    <xf numFmtId="0" fontId="0" fillId="6" borderId="17" xfId="5" applyFont="1" applyBorder="1" applyAlignment="1">
      <alignment horizontal="center" vertical="top" wrapText="1"/>
    </xf>
    <xf numFmtId="0" fontId="0" fillId="6" borderId="0" xfId="5" applyFont="1" applyBorder="1" applyAlignment="1">
      <alignment horizontal="center" vertical="top" wrapText="1"/>
    </xf>
    <xf numFmtId="0" fontId="0" fillId="6" borderId="18" xfId="5" applyFont="1" applyBorder="1" applyAlignment="1">
      <alignment horizontal="center" vertical="top" wrapText="1"/>
    </xf>
    <xf numFmtId="0" fontId="0" fillId="6" borderId="19" xfId="5" applyFont="1" applyBorder="1" applyAlignment="1">
      <alignment horizontal="center" vertical="top" wrapText="1"/>
    </xf>
    <xf numFmtId="0" fontId="0" fillId="6" borderId="20" xfId="5" applyFont="1" applyBorder="1" applyAlignment="1">
      <alignment horizontal="center" vertical="top" wrapText="1"/>
    </xf>
    <xf numFmtId="0" fontId="0" fillId="6" borderId="21" xfId="5" applyFont="1" applyBorder="1" applyAlignment="1">
      <alignment horizontal="center" vertical="top" wrapText="1"/>
    </xf>
    <xf numFmtId="0" fontId="16" fillId="0" borderId="0" xfId="0" applyFont="1" applyBorder="1" applyAlignment="1">
      <alignment horizontal="center" vertical="center"/>
    </xf>
    <xf numFmtId="0" fontId="8" fillId="0" borderId="7"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0" fontId="0" fillId="0" borderId="0" xfId="0" applyBorder="1" applyAlignment="1">
      <alignment horizontal="left" vertical="center"/>
    </xf>
    <xf numFmtId="0" fontId="6" fillId="0" borderId="22" xfId="6" applyBorder="1" applyAlignment="1">
      <alignment horizontal="center" vertical="center" wrapText="1"/>
    </xf>
    <xf numFmtId="0" fontId="6" fillId="0" borderId="0" xfId="6" applyBorder="1" applyAlignment="1">
      <alignment horizontal="center" vertical="center" wrapText="1"/>
    </xf>
    <xf numFmtId="0" fontId="6" fillId="0" borderId="23" xfId="6" applyBorder="1" applyAlignment="1">
      <alignment horizontal="center" vertical="center"/>
    </xf>
    <xf numFmtId="0" fontId="6" fillId="0" borderId="0" xfId="6" applyAlignment="1">
      <alignment horizontal="center" vertical="center"/>
    </xf>
    <xf numFmtId="0" fontId="8" fillId="0" borderId="7" xfId="0" applyFont="1" applyBorder="1" applyAlignment="1">
      <alignment horizontal="center" vertical="center"/>
    </xf>
    <xf numFmtId="0" fontId="7" fillId="0" borderId="13" xfId="0" applyFont="1" applyBorder="1" applyAlignment="1">
      <alignment horizontal="center" vertical="center" wrapText="1"/>
    </xf>
    <xf numFmtId="0" fontId="22" fillId="0" borderId="0" xfId="15" applyAlignment="1">
      <alignment horizontal="left"/>
    </xf>
    <xf numFmtId="0" fontId="0" fillId="0" borderId="0" xfId="0" applyAlignment="1">
      <alignment horizontal="left"/>
    </xf>
    <xf numFmtId="0" fontId="0" fillId="0" borderId="0" xfId="0" applyAlignment="1">
      <alignment horizontal="left"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16" xfId="0" applyBorder="1" applyAlignment="1">
      <alignment horizontal="center" vertical="top" wrapText="1"/>
    </xf>
    <xf numFmtId="0" fontId="0" fillId="0" borderId="17" xfId="0" applyBorder="1" applyAlignment="1">
      <alignment horizontal="center" vertical="top" wrapText="1"/>
    </xf>
    <xf numFmtId="0" fontId="0" fillId="0" borderId="0" xfId="0" applyBorder="1" applyAlignment="1">
      <alignment horizontal="center"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xf>
    <xf numFmtId="0" fontId="7" fillId="0" borderId="34" xfId="0" applyFont="1" applyBorder="1" applyAlignment="1">
      <alignment horizontal="center"/>
    </xf>
    <xf numFmtId="0" fontId="7" fillId="0" borderId="26"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6" fillId="0" borderId="14" xfId="6" applyBorder="1" applyAlignment="1">
      <alignment horizontal="center" vertical="top" wrapText="1"/>
    </xf>
    <xf numFmtId="0" fontId="6" fillId="0" borderId="15" xfId="6" applyBorder="1" applyAlignment="1">
      <alignment horizontal="center" vertical="top" wrapText="1"/>
    </xf>
    <xf numFmtId="0" fontId="6" fillId="0" borderId="16" xfId="6" applyBorder="1" applyAlignment="1">
      <alignment horizontal="center" vertical="top" wrapText="1"/>
    </xf>
    <xf numFmtId="0" fontId="6" fillId="0" borderId="17" xfId="6" applyBorder="1" applyAlignment="1">
      <alignment horizontal="center" vertical="top" wrapText="1"/>
    </xf>
    <xf numFmtId="0" fontId="6" fillId="0" borderId="0" xfId="6" applyBorder="1" applyAlignment="1">
      <alignment horizontal="center" vertical="top" wrapText="1"/>
    </xf>
    <xf numFmtId="0" fontId="6" fillId="0" borderId="18" xfId="6" applyBorder="1" applyAlignment="1">
      <alignment horizontal="center" vertical="top" wrapText="1"/>
    </xf>
    <xf numFmtId="0" fontId="6" fillId="0" borderId="19" xfId="6" applyBorder="1" applyAlignment="1">
      <alignment horizontal="center" vertical="top" wrapText="1"/>
    </xf>
    <xf numFmtId="0" fontId="6" fillId="0" borderId="20" xfId="6" applyBorder="1" applyAlignment="1">
      <alignment horizontal="center" vertical="top" wrapText="1"/>
    </xf>
    <xf numFmtId="0" fontId="6" fillId="0" borderId="21" xfId="6" applyBorder="1" applyAlignment="1">
      <alignment horizontal="center" vertical="top" wrapText="1"/>
    </xf>
    <xf numFmtId="0" fontId="7" fillId="0" borderId="20" xfId="0" applyFont="1" applyBorder="1" applyAlignment="1">
      <alignment horizontal="center"/>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cellXfs>
  <cellStyles count="18">
    <cellStyle name="40% - Accent1" xfId="12" builtinId="31"/>
    <cellStyle name="40% - Accent3" xfId="13" builtinId="39"/>
    <cellStyle name="40% - Accent6" xfId="7" builtinId="51"/>
    <cellStyle name="60% - Accent1" xfId="9" builtinId="32"/>
    <cellStyle name="60% - Accent4" xfId="10" builtinId="44"/>
    <cellStyle name="60% - Accent6" xfId="11" builtinId="52"/>
    <cellStyle name="Accent1" xfId="8" builtinId="29"/>
    <cellStyle name="Bad" xfId="2" builtinId="27"/>
    <cellStyle name="Calculation" xfId="16" builtinId="22"/>
    <cellStyle name="Check Cell" xfId="14" builtinId="23"/>
    <cellStyle name="Comma" xfId="17" builtinId="3"/>
    <cellStyle name="Explanatory Text" xfId="6" builtinId="53"/>
    <cellStyle name="Good" xfId="1" builtinId="26"/>
    <cellStyle name="Hyperlink" xfId="15" builtinId="8"/>
    <cellStyle name="Input" xfId="3" builtinId="20"/>
    <cellStyle name="Normal" xfId="0" builtinId="0"/>
    <cellStyle name="Note" xfId="5" builtinId="10"/>
    <cellStyle name="Output" xfId="4" builtinId="2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Effect</a:t>
            </a:r>
            <a:r>
              <a:rPr lang="en-CA" baseline="0"/>
              <a:t> of Nozzle Geometry on Performance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41659222011734"/>
          <c:y val="0.3233678478552196"/>
          <c:w val="0.6345034995625547"/>
          <c:h val="0.41438283756197136"/>
        </c:manualLayout>
      </c:layout>
      <c:scatterChart>
        <c:scatterStyle val="smoothMarker"/>
        <c:varyColors val="0"/>
        <c:ser>
          <c:idx val="1"/>
          <c:order val="1"/>
          <c:tx>
            <c:v>Exit Mach Number</c:v>
          </c:tx>
          <c:spPr>
            <a:ln w="19050" cap="rnd">
              <a:solidFill>
                <a:schemeClr val="accent2"/>
              </a:solidFill>
              <a:round/>
            </a:ln>
            <a:effectLst/>
          </c:spPr>
          <c:marker>
            <c:symbol val="none"/>
          </c:marker>
          <c:xVal>
            <c:numRef>
              <c:f>'Deliverance II (OF 4.5)'!$D$46:$D$226</c:f>
              <c:numCache>
                <c:formatCode>0.00</c:formatCode>
                <c:ptCount val="181"/>
                <c:pt idx="0">
                  <c:v>5.709668231772759</c:v>
                </c:pt>
                <c:pt idx="1">
                  <c:v>5.6926240212873909</c:v>
                </c:pt>
                <c:pt idx="2">
                  <c:v>5.6757043934493883</c:v>
                </c:pt>
                <c:pt idx="3">
                  <c:v>5.6589079269553704</c:v>
                </c:pt>
                <c:pt idx="4">
                  <c:v>5.6422332224972092</c:v>
                </c:pt>
                <c:pt idx="5">
                  <c:v>5.6256789023329761</c:v>
                </c:pt>
                <c:pt idx="6">
                  <c:v>5.6092436098680718</c:v>
                </c:pt>
                <c:pt idx="7">
                  <c:v>5.5929260092460344</c:v>
                </c:pt>
                <c:pt idx="8">
                  <c:v>5.5767247849489889</c:v>
                </c:pt>
                <c:pt idx="9">
                  <c:v>5.5606386414073583</c:v>
                </c:pt>
                <c:pt idx="10">
                  <c:v>5.5446663026185155</c:v>
                </c:pt>
                <c:pt idx="11">
                  <c:v>5.5288065117743441</c:v>
                </c:pt>
                <c:pt idx="12">
                  <c:v>5.5130580308972332</c:v>
                </c:pt>
                <c:pt idx="13">
                  <c:v>5.4974196404844289</c:v>
                </c:pt>
                <c:pt idx="14">
                  <c:v>5.4818901391605364</c:v>
                </c:pt>
                <c:pt idx="15">
                  <c:v>5.4664683433377759</c:v>
                </c:pt>
                <c:pt idx="16">
                  <c:v>5.4511530868840232</c:v>
                </c:pt>
                <c:pt idx="17">
                  <c:v>5.4359432207982881</c:v>
                </c:pt>
                <c:pt idx="18">
                  <c:v>5.4208376128933908</c:v>
                </c:pt>
                <c:pt idx="19">
                  <c:v>5.4058351474858144</c:v>
                </c:pt>
                <c:pt idx="20">
                  <c:v>5.39093472509244</c:v>
                </c:pt>
                <c:pt idx="21">
                  <c:v>5.3761352621339178</c:v>
                </c:pt>
                <c:pt idx="22">
                  <c:v>5.3614356906446847</c:v>
                </c:pt>
                <c:pt idx="23">
                  <c:v>5.346834957989274</c:v>
                </c:pt>
                <c:pt idx="24">
                  <c:v>5.332332026584897</c:v>
                </c:pt>
                <c:pt idx="25">
                  <c:v>5.3179258736300428</c:v>
                </c:pt>
                <c:pt idx="26">
                  <c:v>5.303615490838971</c:v>
                </c:pt>
                <c:pt idx="27">
                  <c:v>5.289399884181968</c:v>
                </c:pt>
                <c:pt idx="28">
                  <c:v>5.2752780736312133</c:v>
                </c:pt>
                <c:pt idx="29">
                  <c:v>5.2612490929120659</c:v>
                </c:pt>
                <c:pt idx="30">
                  <c:v>5.24731198925973</c:v>
                </c:pt>
                <c:pt idx="31">
                  <c:v>5.2334658231810565</c:v>
                </c:pt>
                <c:pt idx="32">
                  <c:v>5.2197096682214568</c:v>
                </c:pt>
                <c:pt idx="33">
                  <c:v>5.2060426107366959</c:v>
                </c:pt>
                <c:pt idx="34">
                  <c:v>5.1924637496695594</c:v>
                </c:pt>
                <c:pt idx="35">
                  <c:v>5.1789721963311708</c:v>
                </c:pt>
                <c:pt idx="36">
                  <c:v>5.1655670741868853</c:v>
                </c:pt>
                <c:pt idx="37">
                  <c:v>5.1522475186467025</c:v>
                </c:pt>
                <c:pt idx="38">
                  <c:v>5.1390126768599727</c:v>
                </c:pt>
                <c:pt idx="39">
                  <c:v>5.1258617075143817</c:v>
                </c:pt>
                <c:pt idx="40">
                  <c:v>5.1127937806391177</c:v>
                </c:pt>
                <c:pt idx="41">
                  <c:v>5.0998080774120247</c:v>
                </c:pt>
                <c:pt idx="42">
                  <c:v>5.0869037899707266</c:v>
                </c:pt>
                <c:pt idx="43">
                  <c:v>5.0740801212276967</c:v>
                </c:pt>
                <c:pt idx="44">
                  <c:v>5.0613362846889034</c:v>
                </c:pt>
                <c:pt idx="45">
                  <c:v>5.0486715042763484</c:v>
                </c:pt>
                <c:pt idx="46">
                  <c:v>5.0360850141540165</c:v>
                </c:pt>
                <c:pt idx="47">
                  <c:v>5.023576058557425</c:v>
                </c:pt>
                <c:pt idx="48">
                  <c:v>5.0111438916265838</c:v>
                </c:pt>
                <c:pt idx="49">
                  <c:v>4.9987877772422609</c:v>
                </c:pt>
                <c:pt idx="50">
                  <c:v>4.9865069888655382</c:v>
                </c:pt>
                <c:pt idx="51">
                  <c:v>4.9743008093805372</c:v>
                </c:pt>
                <c:pt idx="52">
                  <c:v>4.9621685309402883</c:v>
                </c:pt>
                <c:pt idx="53">
                  <c:v>4.9501094548155899</c:v>
                </c:pt>
                <c:pt idx="54">
                  <c:v>4.93812289124691</c:v>
                </c:pt>
                <c:pt idx="55">
                  <c:v>4.9262081592990716</c:v>
                </c:pt>
                <c:pt idx="56">
                  <c:v>4.9143645867189374</c:v>
                </c:pt>
                <c:pt idx="57">
                  <c:v>4.9025915097957196</c:v>
                </c:pt>
                <c:pt idx="58">
                  <c:v>4.8908882732240508</c:v>
                </c:pt>
                <c:pt idx="59">
                  <c:v>4.8792542299697468</c:v>
                </c:pt>
                <c:pt idx="60">
                  <c:v>4.8676887411380783</c:v>
                </c:pt>
                <c:pt idx="61">
                  <c:v>4.8561911758446135</c:v>
                </c:pt>
                <c:pt idx="62">
                  <c:v>4.8447609110885281</c:v>
                </c:pt>
                <c:pt idx="63">
                  <c:v>4.8333973316283281</c:v>
                </c:pt>
                <c:pt idx="64">
                  <c:v>4.8220998298599431</c:v>
                </c:pt>
                <c:pt idx="65">
                  <c:v>4.8108678056970975</c:v>
                </c:pt>
                <c:pt idx="66">
                  <c:v>4.7997006664539974</c:v>
                </c:pt>
                <c:pt idx="67">
                  <c:v>4.7885978267301645</c:v>
                </c:pt>
                <c:pt idx="68">
                  <c:v>4.7775587082974766</c:v>
                </c:pt>
                <c:pt idx="69">
                  <c:v>4.7665827399892891</c:v>
                </c:pt>
                <c:pt idx="70">
                  <c:v>4.7556693575916489</c:v>
                </c:pt>
                <c:pt idx="71">
                  <c:v>4.7448180037365173</c:v>
                </c:pt>
                <c:pt idx="72">
                  <c:v>4.7340281277969503</c:v>
                </c:pt>
                <c:pt idx="73">
                  <c:v>4.7232991857842794</c:v>
                </c:pt>
                <c:pt idx="74">
                  <c:v>4.7126306402470775</c:v>
                </c:pt>
                <c:pt idx="75">
                  <c:v>4.7020219601720852</c:v>
                </c:pt>
                <c:pt idx="76">
                  <c:v>4.6914726208869091</c:v>
                </c:pt>
                <c:pt idx="77">
                  <c:v>4.6809821039644497</c:v>
                </c:pt>
                <c:pt idx="78">
                  <c:v>4.6705498971291277</c:v>
                </c:pt>
                <c:pt idx="79">
                  <c:v>4.6601754941647897</c:v>
                </c:pt>
                <c:pt idx="80">
                  <c:v>4.6498583948242702</c:v>
                </c:pt>
                <c:pt idx="81">
                  <c:v>4.6395981047405659</c:v>
                </c:pt>
                <c:pt idx="82">
                  <c:v>4.6293941353396448</c:v>
                </c:pt>
                <c:pt idx="83">
                  <c:v>4.6192460037547818</c:v>
                </c:pt>
                <c:pt idx="84">
                  <c:v>4.6091532327424254</c:v>
                </c:pt>
                <c:pt idx="85">
                  <c:v>4.5991153505995888</c:v>
                </c:pt>
                <c:pt idx="86">
                  <c:v>4.5891318910826646</c:v>
                </c:pt>
                <c:pt idx="87">
                  <c:v>4.5792023933276909</c:v>
                </c:pt>
                <c:pt idx="88">
                  <c:v>4.5693264017720363</c:v>
                </c:pt>
                <c:pt idx="89">
                  <c:v>4.5595034660774365</c:v>
                </c:pt>
                <c:pt idx="90">
                  <c:v>4.5497331410544044</c:v>
                </c:pt>
                <c:pt idx="91">
                  <c:v>4.5400149865879174</c:v>
                </c:pt>
                <c:pt idx="92">
                  <c:v>4.5303485675644639</c:v>
                </c:pt>
                <c:pt idx="93">
                  <c:v>4.5207334538002835</c:v>
                </c:pt>
                <c:pt idx="94">
                  <c:v>4.5111692199709035</c:v>
                </c:pt>
                <c:pt idx="95">
                  <c:v>4.5016554455418332</c:v>
                </c:pt>
                <c:pt idx="96">
                  <c:v>4.4921917147005539</c:v>
                </c:pt>
                <c:pt idx="97">
                  <c:v>4.4827776162895345</c:v>
                </c:pt>
                <c:pt idx="98">
                  <c:v>4.4734127437405125</c:v>
                </c:pt>
                <c:pt idx="99">
                  <c:v>4.4640966950098164</c:v>
                </c:pt>
                <c:pt idx="100">
                  <c:v>4.4548290725148396</c:v>
                </c:pt>
                <c:pt idx="101">
                  <c:v>4.4456094830715625</c:v>
                </c:pt>
                <c:pt idx="102">
                  <c:v>4.436437537833128</c:v>
                </c:pt>
                <c:pt idx="103">
                  <c:v>4.4273128522294742</c:v>
                </c:pt>
                <c:pt idx="104">
                  <c:v>4.418235045907946</c:v>
                </c:pt>
                <c:pt idx="105">
                  <c:v>4.4092037426749426</c:v>
                </c:pt>
                <c:pt idx="106">
                  <c:v>4.4002185704385042</c:v>
                </c:pt>
                <c:pt idx="107">
                  <c:v>4.3912791611518811</c:v>
                </c:pt>
                <c:pt idx="108">
                  <c:v>4.3823851507580169</c:v>
                </c:pt>
                <c:pt idx="109">
                  <c:v>4.373536179134967</c:v>
                </c:pt>
                <c:pt idx="110">
                  <c:v>4.3647318900422105</c:v>
                </c:pt>
                <c:pt idx="111">
                  <c:v>4.3559719310678338</c:v>
                </c:pt>
                <c:pt idx="112">
                  <c:v>4.3472559535766351</c:v>
                </c:pt>
                <c:pt idx="113">
                  <c:v>4.338583612658983</c:v>
                </c:pt>
                <c:pt idx="114">
                  <c:v>4.3299545670806054</c:v>
                </c:pt>
                <c:pt idx="115">
                  <c:v>4.3213684792331444</c:v>
                </c:pt>
                <c:pt idx="116">
                  <c:v>4.3128250150855187</c:v>
                </c:pt>
                <c:pt idx="117">
                  <c:v>4.3043238441360732</c:v>
                </c:pt>
                <c:pt idx="118">
                  <c:v>4.2958646393655178</c:v>
                </c:pt>
                <c:pt idx="119">
                  <c:v>4.2874470771906017</c:v>
                </c:pt>
                <c:pt idx="120">
                  <c:v>4.279070837418554</c:v>
                </c:pt>
                <c:pt idx="121">
                  <c:v>4.2707356032022172</c:v>
                </c:pt>
                <c:pt idx="122">
                  <c:v>4.2624410609959513</c:v>
                </c:pt>
                <c:pt idx="123">
                  <c:v>4.2541869005121749</c:v>
                </c:pt>
                <c:pt idx="124">
                  <c:v>4.2459728146786517</c:v>
                </c:pt>
                <c:pt idx="125">
                  <c:v>4.2377984995964173</c:v>
                </c:pt>
                <c:pt idx="126">
                  <c:v>4.2296636544983937</c:v>
                </c:pt>
                <c:pt idx="127">
                  <c:v>4.2215679817086329</c:v>
                </c:pt>
                <c:pt idx="128">
                  <c:v>4.2135111866022248</c:v>
                </c:pt>
                <c:pt idx="129">
                  <c:v>4.2054929775658128</c:v>
                </c:pt>
                <c:pt idx="130">
                  <c:v>4.1975130659587325</c:v>
                </c:pt>
                <c:pt idx="131">
                  <c:v>4.1895711660747486</c:v>
                </c:pt>
                <c:pt idx="132">
                  <c:v>4.1816669951044112</c:v>
                </c:pt>
                <c:pt idx="133">
                  <c:v>4.1738002730979709</c:v>
                </c:pt>
                <c:pt idx="134">
                  <c:v>4.1659707229288525</c:v>
                </c:pt>
                <c:pt idx="135">
                  <c:v>4.1581780702577431</c:v>
                </c:pt>
                <c:pt idx="136">
                  <c:v>4.1504220434971852</c:v>
                </c:pt>
                <c:pt idx="137">
                  <c:v>4.1427023737767197</c:v>
                </c:pt>
                <c:pt idx="138">
                  <c:v>4.135018794908591</c:v>
                </c:pt>
                <c:pt idx="139">
                  <c:v>4.127371043353925</c:v>
                </c:pt>
                <c:pt idx="140">
                  <c:v>4.119758858189484</c:v>
                </c:pt>
                <c:pt idx="141">
                  <c:v>4.1121819810748468</c:v>
                </c:pt>
                <c:pt idx="142">
                  <c:v>4.1046401562201886</c:v>
                </c:pt>
                <c:pt idx="143">
                  <c:v>4.0971331303544201</c:v>
                </c:pt>
                <c:pt idx="144">
                  <c:v>4.0896606526939241</c:v>
                </c:pt>
                <c:pt idx="145">
                  <c:v>4.0822224749117133</c:v>
                </c:pt>
                <c:pt idx="146">
                  <c:v>4.0748183511069742</c:v>
                </c:pt>
                <c:pt idx="147">
                  <c:v>4.067448037775244</c:v>
                </c:pt>
                <c:pt idx="148">
                  <c:v>4.0601112937788439</c:v>
                </c:pt>
                <c:pt idx="149">
                  <c:v>4.0528078803178742</c:v>
                </c:pt>
                <c:pt idx="150">
                  <c:v>4.0455375609015736</c:v>
                </c:pt>
                <c:pt idx="151">
                  <c:v>4.0383001013201554</c:v>
                </c:pt>
                <c:pt idx="152">
                  <c:v>4.0310952696169933</c:v>
                </c:pt>
                <c:pt idx="153">
                  <c:v>4.0239228360612911</c:v>
                </c:pt>
                <c:pt idx="154">
                  <c:v>4.0167825731210653</c:v>
                </c:pt>
                <c:pt idx="155">
                  <c:v>4.0096742554366269</c:v>
                </c:pt>
                <c:pt idx="156">
                  <c:v>4.0025976597943469</c:v>
                </c:pt>
                <c:pt idx="157">
                  <c:v>3.9955525651008883</c:v>
                </c:pt>
                <c:pt idx="158">
                  <c:v>3.9885387523577389</c:v>
                </c:pt>
                <c:pt idx="159">
                  <c:v>3.9815560046361749</c:v>
                </c:pt>
                <c:pt idx="160">
                  <c:v>3.9746041070525626</c:v>
                </c:pt>
                <c:pt idx="161">
                  <c:v>3.9676828467439753</c:v>
                </c:pt>
                <c:pt idx="162">
                  <c:v>3.9607920128442569</c:v>
                </c:pt>
                <c:pt idx="163">
                  <c:v>3.9539313964603156</c:v>
                </c:pt>
                <c:pt idx="164">
                  <c:v>3.9471007906488254</c:v>
                </c:pt>
                <c:pt idx="165">
                  <c:v>3.94029999039329</c:v>
                </c:pt>
                <c:pt idx="166">
                  <c:v>3.9335287925813098</c:v>
                </c:pt>
                <c:pt idx="167">
                  <c:v>3.9267869959823205</c:v>
                </c:pt>
                <c:pt idx="168">
                  <c:v>3.9200744012255155</c:v>
                </c:pt>
                <c:pt idx="169">
                  <c:v>3.9133908107782105</c:v>
                </c:pt>
                <c:pt idx="170">
                  <c:v>3.9067360289243691</c:v>
                </c:pt>
                <c:pt idx="171">
                  <c:v>3.9001098617435632</c:v>
                </c:pt>
                <c:pt idx="172">
                  <c:v>3.893512117090129</c:v>
                </c:pt>
                <c:pt idx="173">
                  <c:v>3.8869426045726843</c:v>
                </c:pt>
                <c:pt idx="174">
                  <c:v>3.8804011355338823</c:v>
                </c:pt>
                <c:pt idx="175">
                  <c:v>3.873887523030473</c:v>
                </c:pt>
                <c:pt idx="176">
                  <c:v>3.8674015818136436</c:v>
                </c:pt>
                <c:pt idx="177">
                  <c:v>3.8609431283096054</c:v>
                </c:pt>
                <c:pt idx="178">
                  <c:v>3.8545119806004804</c:v>
                </c:pt>
                <c:pt idx="179">
                  <c:v>3.8481079584054365</c:v>
                </c:pt>
                <c:pt idx="180">
                  <c:v>3.8417308830620751</c:v>
                </c:pt>
              </c:numCache>
            </c:numRef>
          </c:xVal>
          <c:yVal>
            <c:numRef>
              <c:f>'Deliverance II (OF 4.5)'!$C$46:$C$226</c:f>
              <c:numCache>
                <c:formatCode>0.00</c:formatCode>
                <c:ptCount val="181"/>
                <c:pt idx="0">
                  <c:v>2.9419571627982948</c:v>
                </c:pt>
                <c:pt idx="1">
                  <c:v>2.9396643902438764</c:v>
                </c:pt>
                <c:pt idx="2">
                  <c:v>2.9373811060626664</c:v>
                </c:pt>
                <c:pt idx="3">
                  <c:v>2.9351072306476254</c:v>
                </c:pt>
                <c:pt idx="4">
                  <c:v>2.9328426853860354</c:v>
                </c:pt>
                <c:pt idx="5">
                  <c:v>2.9305873926430368</c:v>
                </c:pt>
                <c:pt idx="6">
                  <c:v>2.9283412757455221</c:v>
                </c:pt>
                <c:pt idx="7">
                  <c:v>2.9261042589663462</c:v>
                </c:pt>
                <c:pt idx="8">
                  <c:v>2.9238762675088683</c:v>
                </c:pt>
                <c:pt idx="9">
                  <c:v>2.9216572274918016</c:v>
                </c:pt>
                <c:pt idx="10">
                  <c:v>2.9194470659343708</c:v>
                </c:pt>
                <c:pt idx="11">
                  <c:v>2.9172457107417724</c:v>
                </c:pt>
                <c:pt idx="12">
                  <c:v>2.9150530906909227</c:v>
                </c:pt>
                <c:pt idx="13">
                  <c:v>2.9128691354164888</c:v>
                </c:pt>
                <c:pt idx="14">
                  <c:v>2.9106937753972084</c:v>
                </c:pt>
                <c:pt idx="15">
                  <c:v>2.908526941942466</c:v>
                </c:pt>
                <c:pt idx="16">
                  <c:v>2.9063685671791455</c:v>
                </c:pt>
                <c:pt idx="17">
                  <c:v>2.9042185840387393</c:v>
                </c:pt>
                <c:pt idx="18">
                  <c:v>2.9020769262447059</c:v>
                </c:pt>
                <c:pt idx="19">
                  <c:v>2.8999435283000778</c:v>
                </c:pt>
                <c:pt idx="20">
                  <c:v>2.8978183254753129</c:v>
                </c:pt>
                <c:pt idx="21">
                  <c:v>2.8957012537963731</c:v>
                </c:pt>
                <c:pt idx="22">
                  <c:v>2.893592250033044</c:v>
                </c:pt>
                <c:pt idx="23">
                  <c:v>2.891491251687468</c:v>
                </c:pt>
                <c:pt idx="24">
                  <c:v>2.8893981969829068</c:v>
                </c:pt>
                <c:pt idx="25">
                  <c:v>2.8873130248527112</c:v>
                </c:pt>
                <c:pt idx="26">
                  <c:v>2.8852356749295067</c:v>
                </c:pt>
                <c:pt idx="27">
                  <c:v>2.8831660875345757</c:v>
                </c:pt>
                <c:pt idx="28">
                  <c:v>2.881104203667451</c:v>
                </c:pt>
                <c:pt idx="29">
                  <c:v>2.8790499649956933</c:v>
                </c:pt>
                <c:pt idx="30">
                  <c:v>2.8770033138448712</c:v>
                </c:pt>
                <c:pt idx="31">
                  <c:v>2.8749641931887178</c:v>
                </c:pt>
                <c:pt idx="32">
                  <c:v>2.8729325466394804</c:v>
                </c:pt>
                <c:pt idx="33">
                  <c:v>2.8709083184384374</c:v>
                </c:pt>
                <c:pt idx="34">
                  <c:v>2.8688914534466039</c:v>
                </c:pt>
                <c:pt idx="35">
                  <c:v>2.8668818971355958</c:v>
                </c:pt>
                <c:pt idx="36">
                  <c:v>2.8648795955786683</c:v>
                </c:pt>
                <c:pt idx="37">
                  <c:v>2.8628844954419161</c:v>
                </c:pt>
                <c:pt idx="38">
                  <c:v>2.8608965439756342</c:v>
                </c:pt>
                <c:pt idx="39">
                  <c:v>2.8589156890058325</c:v>
                </c:pt>
                <c:pt idx="40">
                  <c:v>2.8569418789259085</c:v>
                </c:pt>
                <c:pt idx="41">
                  <c:v>2.8549750626884665</c:v>
                </c:pt>
                <c:pt idx="42">
                  <c:v>2.8530151897972815</c:v>
                </c:pt>
                <c:pt idx="43">
                  <c:v>2.851062210299415</c:v>
                </c:pt>
                <c:pt idx="44">
                  <c:v>2.8491160747774589</c:v>
                </c:pt>
                <c:pt idx="45">
                  <c:v>2.8471767343419287</c:v>
                </c:pt>
                <c:pt idx="46">
                  <c:v>2.8452441406237838</c:v>
                </c:pt>
                <c:pt idx="47">
                  <c:v>2.8433182457670809</c:v>
                </c:pt>
                <c:pt idx="48">
                  <c:v>2.8413990024217597</c:v>
                </c:pt>
                <c:pt idx="49">
                  <c:v>2.8394863637365515</c:v>
                </c:pt>
                <c:pt idx="50">
                  <c:v>2.8375802833520107</c:v>
                </c:pt>
                <c:pt idx="51">
                  <c:v>2.8356807153936692</c:v>
                </c:pt>
                <c:pt idx="52">
                  <c:v>2.8337876144653138</c:v>
                </c:pt>
                <c:pt idx="53">
                  <c:v>2.8319009356423668</c:v>
                </c:pt>
                <c:pt idx="54">
                  <c:v>2.8300206344653955</c:v>
                </c:pt>
                <c:pt idx="55">
                  <c:v>2.8281466669337219</c:v>
                </c:pt>
                <c:pt idx="56">
                  <c:v>2.8262789894991456</c:v>
                </c:pt>
                <c:pt idx="57">
                  <c:v>2.824417559059778</c:v>
                </c:pt>
                <c:pt idx="58">
                  <c:v>2.8225623329539689</c:v>
                </c:pt>
                <c:pt idx="59">
                  <c:v>2.8207132689543504</c:v>
                </c:pt>
                <c:pt idx="60">
                  <c:v>2.8188703252619702</c:v>
                </c:pt>
                <c:pt idx="61">
                  <c:v>2.8170334605005287</c:v>
                </c:pt>
                <c:pt idx="62">
                  <c:v>2.8152026337107117</c:v>
                </c:pt>
                <c:pt idx="63">
                  <c:v>2.813377804344614</c:v>
                </c:pt>
                <c:pt idx="64">
                  <c:v>2.8115589322602648</c:v>
                </c:pt>
                <c:pt idx="65">
                  <c:v>2.8097459777162319</c:v>
                </c:pt>
                <c:pt idx="66">
                  <c:v>2.8079389013663252</c:v>
                </c:pt>
                <c:pt idx="67">
                  <c:v>2.8061376642543805</c:v>
                </c:pt>
                <c:pt idx="68">
                  <c:v>2.8043422278091343</c:v>
                </c:pt>
                <c:pt idx="69">
                  <c:v>2.8025525538391767</c:v>
                </c:pt>
                <c:pt idx="70">
                  <c:v>2.8007686045279918</c:v>
                </c:pt>
                <c:pt idx="71">
                  <c:v>2.7989903424290761</c:v>
                </c:pt>
                <c:pt idx="72">
                  <c:v>2.7972177304611359</c:v>
                </c:pt>
                <c:pt idx="73">
                  <c:v>2.7954507319033639</c:v>
                </c:pt>
                <c:pt idx="74">
                  <c:v>2.7936893103907892</c:v>
                </c:pt>
                <c:pt idx="75">
                  <c:v>2.7919334299097032</c:v>
                </c:pt>
                <c:pt idx="76">
                  <c:v>2.7901830547931614</c:v>
                </c:pt>
                <c:pt idx="77">
                  <c:v>2.7884381497165531</c:v>
                </c:pt>
                <c:pt idx="78">
                  <c:v>2.7866986796932394</c:v>
                </c:pt>
                <c:pt idx="79">
                  <c:v>2.7849646100702703</c:v>
                </c:pt>
                <c:pt idx="80">
                  <c:v>2.7832359065241565</c:v>
                </c:pt>
                <c:pt idx="81">
                  <c:v>2.7815125350567174</c:v>
                </c:pt>
                <c:pt idx="82">
                  <c:v>2.7797944619909902</c:v>
                </c:pt>
                <c:pt idx="83">
                  <c:v>2.7780816539672042</c:v>
                </c:pt>
                <c:pt idx="84">
                  <c:v>2.7763740779388146</c:v>
                </c:pt>
                <c:pt idx="85">
                  <c:v>2.7746717011686068</c:v>
                </c:pt>
                <c:pt idx="86">
                  <c:v>2.7729744912248475</c:v>
                </c:pt>
                <c:pt idx="87">
                  <c:v>2.7712824159775105</c:v>
                </c:pt>
                <c:pt idx="88">
                  <c:v>2.7695954435945449</c:v>
                </c:pt>
                <c:pt idx="89">
                  <c:v>2.7679135425382158</c:v>
                </c:pt>
                <c:pt idx="90">
                  <c:v>2.7662366815614905</c:v>
                </c:pt>
                <c:pt idx="91">
                  <c:v>2.7645648297044825</c:v>
                </c:pt>
                <c:pt idx="92">
                  <c:v>2.7628979562909532</c:v>
                </c:pt>
                <c:pt idx="93">
                  <c:v>2.7612360309248616</c:v>
                </c:pt>
                <c:pt idx="94">
                  <c:v>2.7595790234869693</c:v>
                </c:pt>
                <c:pt idx="95">
                  <c:v>2.7579269041314949</c:v>
                </c:pt>
                <c:pt idx="96">
                  <c:v>2.7562796432828227</c:v>
                </c:pt>
                <c:pt idx="97">
                  <c:v>2.7546372116322533</c:v>
                </c:pt>
                <c:pt idx="98">
                  <c:v>2.7529995801348122</c:v>
                </c:pt>
                <c:pt idx="99">
                  <c:v>2.7513667200060947</c:v>
                </c:pt>
                <c:pt idx="100">
                  <c:v>2.7497386027191704</c:v>
                </c:pt>
                <c:pt idx="101">
                  <c:v>2.7481152000015232</c:v>
                </c:pt>
                <c:pt idx="102">
                  <c:v>2.7464964838320416</c:v>
                </c:pt>
                <c:pt idx="103">
                  <c:v>2.7448824264380516</c:v>
                </c:pt>
                <c:pt idx="104">
                  <c:v>2.7432730002923948</c:v>
                </c:pt>
                <c:pt idx="105">
                  <c:v>2.741668178110547</c:v>
                </c:pt>
                <c:pt idx="106">
                  <c:v>2.7400679328477793</c:v>
                </c:pt>
                <c:pt idx="107">
                  <c:v>2.7384722376963655</c:v>
                </c:pt>
                <c:pt idx="108">
                  <c:v>2.7368810660828213</c:v>
                </c:pt>
                <c:pt idx="109">
                  <c:v>2.7352943916651893</c:v>
                </c:pt>
                <c:pt idx="110">
                  <c:v>2.7337121883303626</c:v>
                </c:pt>
                <c:pt idx="111">
                  <c:v>2.732134430191445</c:v>
                </c:pt>
                <c:pt idx="112">
                  <c:v>2.7305610915851535</c:v>
                </c:pt>
                <c:pt idx="113">
                  <c:v>2.7289921470692495</c:v>
                </c:pt>
                <c:pt idx="114">
                  <c:v>2.7274275714200171</c:v>
                </c:pt>
                <c:pt idx="115">
                  <c:v>2.7258673396297679</c:v>
                </c:pt>
                <c:pt idx="116">
                  <c:v>2.7243114269043898</c:v>
                </c:pt>
                <c:pt idx="117">
                  <c:v>2.7227598086609208</c:v>
                </c:pt>
                <c:pt idx="118">
                  <c:v>2.7212124605251673</c:v>
                </c:pt>
                <c:pt idx="119">
                  <c:v>2.7196693583293481</c:v>
                </c:pt>
                <c:pt idx="120">
                  <c:v>2.7181304781097739</c:v>
                </c:pt>
                <c:pt idx="121">
                  <c:v>2.7165957961045621</c:v>
                </c:pt>
                <c:pt idx="122">
                  <c:v>2.7150652887513802</c:v>
                </c:pt>
                <c:pt idx="123">
                  <c:v>2.7135389326852186</c:v>
                </c:pt>
                <c:pt idx="124">
                  <c:v>2.7120167047362025</c:v>
                </c:pt>
                <c:pt idx="125">
                  <c:v>2.710498581927423</c:v>
                </c:pt>
                <c:pt idx="126">
                  <c:v>2.708984541472808</c:v>
                </c:pt>
                <c:pt idx="127">
                  <c:v>2.707474560775017</c:v>
                </c:pt>
                <c:pt idx="128">
                  <c:v>2.7059686174233644</c:v>
                </c:pt>
                <c:pt idx="129">
                  <c:v>2.7044666891917766</c:v>
                </c:pt>
                <c:pt idx="130">
                  <c:v>2.7029687540367702</c:v>
                </c:pt>
                <c:pt idx="131">
                  <c:v>2.7014747900954599</c:v>
                </c:pt>
                <c:pt idx="132">
                  <c:v>2.699984775683598</c:v>
                </c:pt>
                <c:pt idx="133">
                  <c:v>2.6984986892936345</c:v>
                </c:pt>
                <c:pt idx="134">
                  <c:v>2.6970165095928058</c:v>
                </c:pt>
                <c:pt idx="135">
                  <c:v>2.6955382154212493</c:v>
                </c:pt>
                <c:pt idx="136">
                  <c:v>2.6940637857901435</c:v>
                </c:pt>
                <c:pt idx="137">
                  <c:v>2.6925931998798704</c:v>
                </c:pt>
                <c:pt idx="138">
                  <c:v>2.6911264370382093</c:v>
                </c:pt>
                <c:pt idx="139">
                  <c:v>2.6896634767785428</c:v>
                </c:pt>
                <c:pt idx="140">
                  <c:v>2.6882042987781012</c:v>
                </c:pt>
                <c:pt idx="141">
                  <c:v>2.686748882876218</c:v>
                </c:pt>
                <c:pt idx="142">
                  <c:v>2.6852972090726173</c:v>
                </c:pt>
                <c:pt idx="143">
                  <c:v>2.6838492575257122</c:v>
                </c:pt>
                <c:pt idx="144">
                  <c:v>2.6824050085509428</c:v>
                </c:pt>
                <c:pt idx="145">
                  <c:v>2.6809644426191208</c:v>
                </c:pt>
                <c:pt idx="146">
                  <c:v>2.6795275403547985</c:v>
                </c:pt>
                <c:pt idx="147">
                  <c:v>2.6780942825346705</c:v>
                </c:pt>
                <c:pt idx="148">
                  <c:v>2.676664650085979</c:v>
                </c:pt>
                <c:pt idx="149">
                  <c:v>2.6752386240849537</c:v>
                </c:pt>
                <c:pt idx="150">
                  <c:v>2.6738161857552636</c:v>
                </c:pt>
                <c:pt idx="151">
                  <c:v>2.6723973164664927</c:v>
                </c:pt>
                <c:pt idx="152">
                  <c:v>2.6709819977326354</c:v>
                </c:pt>
                <c:pt idx="153">
                  <c:v>2.6695702112106097</c:v>
                </c:pt>
                <c:pt idx="154">
                  <c:v>2.6681619386987863</c:v>
                </c:pt>
                <c:pt idx="155">
                  <c:v>2.666757162135549</c:v>
                </c:pt>
                <c:pt idx="156">
                  <c:v>2.6653558635978531</c:v>
                </c:pt>
                <c:pt idx="157">
                  <c:v>2.6639580252998245</c:v>
                </c:pt>
                <c:pt idx="158">
                  <c:v>2.6625636295913577</c:v>
                </c:pt>
                <c:pt idx="159">
                  <c:v>2.6611726589567435</c:v>
                </c:pt>
                <c:pt idx="160">
                  <c:v>2.6597850960133114</c:v>
                </c:pt>
                <c:pt idx="161">
                  <c:v>2.6584009235100812</c:v>
                </c:pt>
                <c:pt idx="162">
                  <c:v>2.6570201243264466</c:v>
                </c:pt>
                <c:pt idx="163">
                  <c:v>2.6556426814708627</c:v>
                </c:pt>
                <c:pt idx="164">
                  <c:v>2.6542685780795501</c:v>
                </c:pt>
                <c:pt idx="165">
                  <c:v>2.6528977974152292</c:v>
                </c:pt>
                <c:pt idx="166">
                  <c:v>2.6515303228658484</c:v>
                </c:pt>
                <c:pt idx="167">
                  <c:v>2.6501661379433501</c:v>
                </c:pt>
                <c:pt idx="168">
                  <c:v>2.6488052262824318</c:v>
                </c:pt>
                <c:pt idx="169">
                  <c:v>2.6474475716393426</c:v>
                </c:pt>
                <c:pt idx="170">
                  <c:v>2.646093157890677</c:v>
                </c:pt>
                <c:pt idx="171">
                  <c:v>2.6447419690321921</c:v>
                </c:pt>
                <c:pt idx="172">
                  <c:v>2.6433939891776403</c:v>
                </c:pt>
                <c:pt idx="173">
                  <c:v>2.6420492025576121</c:v>
                </c:pt>
                <c:pt idx="174">
                  <c:v>2.6407075935183957</c:v>
                </c:pt>
                <c:pt idx="175">
                  <c:v>2.6393691465208473</c:v>
                </c:pt>
                <c:pt idx="176">
                  <c:v>2.6380338461392823</c:v>
                </c:pt>
                <c:pt idx="177">
                  <c:v>2.6367016770603708</c:v>
                </c:pt>
                <c:pt idx="178">
                  <c:v>2.6353726240820503</c:v>
                </c:pt>
                <c:pt idx="179">
                  <c:v>2.6340466721124574</c:v>
                </c:pt>
                <c:pt idx="180">
                  <c:v>2.6327238061688591</c:v>
                </c:pt>
              </c:numCache>
            </c:numRef>
          </c:yVal>
          <c:smooth val="1"/>
          <c:extLst>
            <c:ext xmlns:c16="http://schemas.microsoft.com/office/drawing/2014/chart" uri="{C3380CC4-5D6E-409C-BE32-E72D297353CC}">
              <c16:uniqueId val="{00000002-CA23-4A81-9FBD-7E4592D2BCCA}"/>
            </c:ext>
          </c:extLst>
        </c:ser>
        <c:dLbls>
          <c:showLegendKey val="0"/>
          <c:showVal val="0"/>
          <c:showCatName val="0"/>
          <c:showSerName val="0"/>
          <c:showPercent val="0"/>
          <c:showBubbleSize val="0"/>
        </c:dLbls>
        <c:axId val="197413296"/>
        <c:axId val="255312144"/>
      </c:scatterChart>
      <c:scatterChart>
        <c:scatterStyle val="smoothMarker"/>
        <c:varyColors val="0"/>
        <c:ser>
          <c:idx val="0"/>
          <c:order val="0"/>
          <c:tx>
            <c:v>Average Specific Impulse</c:v>
          </c:tx>
          <c:spPr>
            <a:ln w="19050" cap="rnd">
              <a:solidFill>
                <a:schemeClr val="accent1"/>
              </a:solidFill>
              <a:round/>
            </a:ln>
            <a:effectLst/>
          </c:spPr>
          <c:marker>
            <c:symbol val="none"/>
          </c:marker>
          <c:xVal>
            <c:numRef>
              <c:f>'Deliverance II (OF 4.5)'!$D$46:$D$226</c:f>
              <c:numCache>
                <c:formatCode>0.00</c:formatCode>
                <c:ptCount val="181"/>
                <c:pt idx="0">
                  <c:v>5.709668231772759</c:v>
                </c:pt>
                <c:pt idx="1">
                  <c:v>5.6926240212873909</c:v>
                </c:pt>
                <c:pt idx="2">
                  <c:v>5.6757043934493883</c:v>
                </c:pt>
                <c:pt idx="3">
                  <c:v>5.6589079269553704</c:v>
                </c:pt>
                <c:pt idx="4">
                  <c:v>5.6422332224972092</c:v>
                </c:pt>
                <c:pt idx="5">
                  <c:v>5.6256789023329761</c:v>
                </c:pt>
                <c:pt idx="6">
                  <c:v>5.6092436098680718</c:v>
                </c:pt>
                <c:pt idx="7">
                  <c:v>5.5929260092460344</c:v>
                </c:pt>
                <c:pt idx="8">
                  <c:v>5.5767247849489889</c:v>
                </c:pt>
                <c:pt idx="9">
                  <c:v>5.5606386414073583</c:v>
                </c:pt>
                <c:pt idx="10">
                  <c:v>5.5446663026185155</c:v>
                </c:pt>
                <c:pt idx="11">
                  <c:v>5.5288065117743441</c:v>
                </c:pt>
                <c:pt idx="12">
                  <c:v>5.5130580308972332</c:v>
                </c:pt>
                <c:pt idx="13">
                  <c:v>5.4974196404844289</c:v>
                </c:pt>
                <c:pt idx="14">
                  <c:v>5.4818901391605364</c:v>
                </c:pt>
                <c:pt idx="15">
                  <c:v>5.4664683433377759</c:v>
                </c:pt>
                <c:pt idx="16">
                  <c:v>5.4511530868840232</c:v>
                </c:pt>
                <c:pt idx="17">
                  <c:v>5.4359432207982881</c:v>
                </c:pt>
                <c:pt idx="18">
                  <c:v>5.4208376128933908</c:v>
                </c:pt>
                <c:pt idx="19">
                  <c:v>5.4058351474858144</c:v>
                </c:pt>
                <c:pt idx="20">
                  <c:v>5.39093472509244</c:v>
                </c:pt>
                <c:pt idx="21">
                  <c:v>5.3761352621339178</c:v>
                </c:pt>
                <c:pt idx="22">
                  <c:v>5.3614356906446847</c:v>
                </c:pt>
                <c:pt idx="23">
                  <c:v>5.346834957989274</c:v>
                </c:pt>
                <c:pt idx="24">
                  <c:v>5.332332026584897</c:v>
                </c:pt>
                <c:pt idx="25">
                  <c:v>5.3179258736300428</c:v>
                </c:pt>
                <c:pt idx="26">
                  <c:v>5.303615490838971</c:v>
                </c:pt>
                <c:pt idx="27">
                  <c:v>5.289399884181968</c:v>
                </c:pt>
                <c:pt idx="28">
                  <c:v>5.2752780736312133</c:v>
                </c:pt>
                <c:pt idx="29">
                  <c:v>5.2612490929120659</c:v>
                </c:pt>
                <c:pt idx="30">
                  <c:v>5.24731198925973</c:v>
                </c:pt>
                <c:pt idx="31">
                  <c:v>5.2334658231810565</c:v>
                </c:pt>
                <c:pt idx="32">
                  <c:v>5.2197096682214568</c:v>
                </c:pt>
                <c:pt idx="33">
                  <c:v>5.2060426107366959</c:v>
                </c:pt>
                <c:pt idx="34">
                  <c:v>5.1924637496695594</c:v>
                </c:pt>
                <c:pt idx="35">
                  <c:v>5.1789721963311708</c:v>
                </c:pt>
                <c:pt idx="36">
                  <c:v>5.1655670741868853</c:v>
                </c:pt>
                <c:pt idx="37">
                  <c:v>5.1522475186467025</c:v>
                </c:pt>
                <c:pt idx="38">
                  <c:v>5.1390126768599727</c:v>
                </c:pt>
                <c:pt idx="39">
                  <c:v>5.1258617075143817</c:v>
                </c:pt>
                <c:pt idx="40">
                  <c:v>5.1127937806391177</c:v>
                </c:pt>
                <c:pt idx="41">
                  <c:v>5.0998080774120247</c:v>
                </c:pt>
                <c:pt idx="42">
                  <c:v>5.0869037899707266</c:v>
                </c:pt>
                <c:pt idx="43">
                  <c:v>5.0740801212276967</c:v>
                </c:pt>
                <c:pt idx="44">
                  <c:v>5.0613362846889034</c:v>
                </c:pt>
                <c:pt idx="45">
                  <c:v>5.0486715042763484</c:v>
                </c:pt>
                <c:pt idx="46">
                  <c:v>5.0360850141540165</c:v>
                </c:pt>
                <c:pt idx="47">
                  <c:v>5.023576058557425</c:v>
                </c:pt>
                <c:pt idx="48">
                  <c:v>5.0111438916265838</c:v>
                </c:pt>
                <c:pt idx="49">
                  <c:v>4.9987877772422609</c:v>
                </c:pt>
                <c:pt idx="50">
                  <c:v>4.9865069888655382</c:v>
                </c:pt>
                <c:pt idx="51">
                  <c:v>4.9743008093805372</c:v>
                </c:pt>
                <c:pt idx="52">
                  <c:v>4.9621685309402883</c:v>
                </c:pt>
                <c:pt idx="53">
                  <c:v>4.9501094548155899</c:v>
                </c:pt>
                <c:pt idx="54">
                  <c:v>4.93812289124691</c:v>
                </c:pt>
                <c:pt idx="55">
                  <c:v>4.9262081592990716</c:v>
                </c:pt>
                <c:pt idx="56">
                  <c:v>4.9143645867189374</c:v>
                </c:pt>
                <c:pt idx="57">
                  <c:v>4.9025915097957196</c:v>
                </c:pt>
                <c:pt idx="58">
                  <c:v>4.8908882732240508</c:v>
                </c:pt>
                <c:pt idx="59">
                  <c:v>4.8792542299697468</c:v>
                </c:pt>
                <c:pt idx="60">
                  <c:v>4.8676887411380783</c:v>
                </c:pt>
                <c:pt idx="61">
                  <c:v>4.8561911758446135</c:v>
                </c:pt>
                <c:pt idx="62">
                  <c:v>4.8447609110885281</c:v>
                </c:pt>
                <c:pt idx="63">
                  <c:v>4.8333973316283281</c:v>
                </c:pt>
                <c:pt idx="64">
                  <c:v>4.8220998298599431</c:v>
                </c:pt>
                <c:pt idx="65">
                  <c:v>4.8108678056970975</c:v>
                </c:pt>
                <c:pt idx="66">
                  <c:v>4.7997006664539974</c:v>
                </c:pt>
                <c:pt idx="67">
                  <c:v>4.7885978267301645</c:v>
                </c:pt>
                <c:pt idx="68">
                  <c:v>4.7775587082974766</c:v>
                </c:pt>
                <c:pt idx="69">
                  <c:v>4.7665827399892891</c:v>
                </c:pt>
                <c:pt idx="70">
                  <c:v>4.7556693575916489</c:v>
                </c:pt>
                <c:pt idx="71">
                  <c:v>4.7448180037365173</c:v>
                </c:pt>
                <c:pt idx="72">
                  <c:v>4.7340281277969503</c:v>
                </c:pt>
                <c:pt idx="73">
                  <c:v>4.7232991857842794</c:v>
                </c:pt>
                <c:pt idx="74">
                  <c:v>4.7126306402470775</c:v>
                </c:pt>
                <c:pt idx="75">
                  <c:v>4.7020219601720852</c:v>
                </c:pt>
                <c:pt idx="76">
                  <c:v>4.6914726208869091</c:v>
                </c:pt>
                <c:pt idx="77">
                  <c:v>4.6809821039644497</c:v>
                </c:pt>
                <c:pt idx="78">
                  <c:v>4.6705498971291277</c:v>
                </c:pt>
                <c:pt idx="79">
                  <c:v>4.6601754941647897</c:v>
                </c:pt>
                <c:pt idx="80">
                  <c:v>4.6498583948242702</c:v>
                </c:pt>
                <c:pt idx="81">
                  <c:v>4.6395981047405659</c:v>
                </c:pt>
                <c:pt idx="82">
                  <c:v>4.6293941353396448</c:v>
                </c:pt>
                <c:pt idx="83">
                  <c:v>4.6192460037547818</c:v>
                </c:pt>
                <c:pt idx="84">
                  <c:v>4.6091532327424254</c:v>
                </c:pt>
                <c:pt idx="85">
                  <c:v>4.5991153505995888</c:v>
                </c:pt>
                <c:pt idx="86">
                  <c:v>4.5891318910826646</c:v>
                </c:pt>
                <c:pt idx="87">
                  <c:v>4.5792023933276909</c:v>
                </c:pt>
                <c:pt idx="88">
                  <c:v>4.5693264017720363</c:v>
                </c:pt>
                <c:pt idx="89">
                  <c:v>4.5595034660774365</c:v>
                </c:pt>
                <c:pt idx="90">
                  <c:v>4.5497331410544044</c:v>
                </c:pt>
                <c:pt idx="91">
                  <c:v>4.5400149865879174</c:v>
                </c:pt>
                <c:pt idx="92">
                  <c:v>4.5303485675644639</c:v>
                </c:pt>
                <c:pt idx="93">
                  <c:v>4.5207334538002835</c:v>
                </c:pt>
                <c:pt idx="94">
                  <c:v>4.5111692199709035</c:v>
                </c:pt>
                <c:pt idx="95">
                  <c:v>4.5016554455418332</c:v>
                </c:pt>
                <c:pt idx="96">
                  <c:v>4.4921917147005539</c:v>
                </c:pt>
                <c:pt idx="97">
                  <c:v>4.4827776162895345</c:v>
                </c:pt>
                <c:pt idx="98">
                  <c:v>4.4734127437405125</c:v>
                </c:pt>
                <c:pt idx="99">
                  <c:v>4.4640966950098164</c:v>
                </c:pt>
                <c:pt idx="100">
                  <c:v>4.4548290725148396</c:v>
                </c:pt>
                <c:pt idx="101">
                  <c:v>4.4456094830715625</c:v>
                </c:pt>
                <c:pt idx="102">
                  <c:v>4.436437537833128</c:v>
                </c:pt>
                <c:pt idx="103">
                  <c:v>4.4273128522294742</c:v>
                </c:pt>
                <c:pt idx="104">
                  <c:v>4.418235045907946</c:v>
                </c:pt>
                <c:pt idx="105">
                  <c:v>4.4092037426749426</c:v>
                </c:pt>
                <c:pt idx="106">
                  <c:v>4.4002185704385042</c:v>
                </c:pt>
                <c:pt idx="107">
                  <c:v>4.3912791611518811</c:v>
                </c:pt>
                <c:pt idx="108">
                  <c:v>4.3823851507580169</c:v>
                </c:pt>
                <c:pt idx="109">
                  <c:v>4.373536179134967</c:v>
                </c:pt>
                <c:pt idx="110">
                  <c:v>4.3647318900422105</c:v>
                </c:pt>
                <c:pt idx="111">
                  <c:v>4.3559719310678338</c:v>
                </c:pt>
                <c:pt idx="112">
                  <c:v>4.3472559535766351</c:v>
                </c:pt>
                <c:pt idx="113">
                  <c:v>4.338583612658983</c:v>
                </c:pt>
                <c:pt idx="114">
                  <c:v>4.3299545670806054</c:v>
                </c:pt>
                <c:pt idx="115">
                  <c:v>4.3213684792331444</c:v>
                </c:pt>
                <c:pt idx="116">
                  <c:v>4.3128250150855187</c:v>
                </c:pt>
                <c:pt idx="117">
                  <c:v>4.3043238441360732</c:v>
                </c:pt>
                <c:pt idx="118">
                  <c:v>4.2958646393655178</c:v>
                </c:pt>
                <c:pt idx="119">
                  <c:v>4.2874470771906017</c:v>
                </c:pt>
                <c:pt idx="120">
                  <c:v>4.279070837418554</c:v>
                </c:pt>
                <c:pt idx="121">
                  <c:v>4.2707356032022172</c:v>
                </c:pt>
                <c:pt idx="122">
                  <c:v>4.2624410609959513</c:v>
                </c:pt>
                <c:pt idx="123">
                  <c:v>4.2541869005121749</c:v>
                </c:pt>
                <c:pt idx="124">
                  <c:v>4.2459728146786517</c:v>
                </c:pt>
                <c:pt idx="125">
                  <c:v>4.2377984995964173</c:v>
                </c:pt>
                <c:pt idx="126">
                  <c:v>4.2296636544983937</c:v>
                </c:pt>
                <c:pt idx="127">
                  <c:v>4.2215679817086329</c:v>
                </c:pt>
                <c:pt idx="128">
                  <c:v>4.2135111866022248</c:v>
                </c:pt>
                <c:pt idx="129">
                  <c:v>4.2054929775658128</c:v>
                </c:pt>
                <c:pt idx="130">
                  <c:v>4.1975130659587325</c:v>
                </c:pt>
                <c:pt idx="131">
                  <c:v>4.1895711660747486</c:v>
                </c:pt>
                <c:pt idx="132">
                  <c:v>4.1816669951044112</c:v>
                </c:pt>
                <c:pt idx="133">
                  <c:v>4.1738002730979709</c:v>
                </c:pt>
                <c:pt idx="134">
                  <c:v>4.1659707229288525</c:v>
                </c:pt>
                <c:pt idx="135">
                  <c:v>4.1581780702577431</c:v>
                </c:pt>
                <c:pt idx="136">
                  <c:v>4.1504220434971852</c:v>
                </c:pt>
                <c:pt idx="137">
                  <c:v>4.1427023737767197</c:v>
                </c:pt>
                <c:pt idx="138">
                  <c:v>4.135018794908591</c:v>
                </c:pt>
                <c:pt idx="139">
                  <c:v>4.127371043353925</c:v>
                </c:pt>
                <c:pt idx="140">
                  <c:v>4.119758858189484</c:v>
                </c:pt>
                <c:pt idx="141">
                  <c:v>4.1121819810748468</c:v>
                </c:pt>
                <c:pt idx="142">
                  <c:v>4.1046401562201886</c:v>
                </c:pt>
                <c:pt idx="143">
                  <c:v>4.0971331303544201</c:v>
                </c:pt>
                <c:pt idx="144">
                  <c:v>4.0896606526939241</c:v>
                </c:pt>
                <c:pt idx="145">
                  <c:v>4.0822224749117133</c:v>
                </c:pt>
                <c:pt idx="146">
                  <c:v>4.0748183511069742</c:v>
                </c:pt>
                <c:pt idx="147">
                  <c:v>4.067448037775244</c:v>
                </c:pt>
                <c:pt idx="148">
                  <c:v>4.0601112937788439</c:v>
                </c:pt>
                <c:pt idx="149">
                  <c:v>4.0528078803178742</c:v>
                </c:pt>
                <c:pt idx="150">
                  <c:v>4.0455375609015736</c:v>
                </c:pt>
                <c:pt idx="151">
                  <c:v>4.0383001013201554</c:v>
                </c:pt>
                <c:pt idx="152">
                  <c:v>4.0310952696169933</c:v>
                </c:pt>
                <c:pt idx="153">
                  <c:v>4.0239228360612911</c:v>
                </c:pt>
                <c:pt idx="154">
                  <c:v>4.0167825731210653</c:v>
                </c:pt>
                <c:pt idx="155">
                  <c:v>4.0096742554366269</c:v>
                </c:pt>
                <c:pt idx="156">
                  <c:v>4.0025976597943469</c:v>
                </c:pt>
                <c:pt idx="157">
                  <c:v>3.9955525651008883</c:v>
                </c:pt>
                <c:pt idx="158">
                  <c:v>3.9885387523577389</c:v>
                </c:pt>
                <c:pt idx="159">
                  <c:v>3.9815560046361749</c:v>
                </c:pt>
                <c:pt idx="160">
                  <c:v>3.9746041070525626</c:v>
                </c:pt>
                <c:pt idx="161">
                  <c:v>3.9676828467439753</c:v>
                </c:pt>
                <c:pt idx="162">
                  <c:v>3.9607920128442569</c:v>
                </c:pt>
                <c:pt idx="163">
                  <c:v>3.9539313964603156</c:v>
                </c:pt>
                <c:pt idx="164">
                  <c:v>3.9471007906488254</c:v>
                </c:pt>
                <c:pt idx="165">
                  <c:v>3.94029999039329</c:v>
                </c:pt>
                <c:pt idx="166">
                  <c:v>3.9335287925813098</c:v>
                </c:pt>
                <c:pt idx="167">
                  <c:v>3.9267869959823205</c:v>
                </c:pt>
                <c:pt idx="168">
                  <c:v>3.9200744012255155</c:v>
                </c:pt>
                <c:pt idx="169">
                  <c:v>3.9133908107782105</c:v>
                </c:pt>
                <c:pt idx="170">
                  <c:v>3.9067360289243691</c:v>
                </c:pt>
                <c:pt idx="171">
                  <c:v>3.9001098617435632</c:v>
                </c:pt>
                <c:pt idx="172">
                  <c:v>3.893512117090129</c:v>
                </c:pt>
                <c:pt idx="173">
                  <c:v>3.8869426045726843</c:v>
                </c:pt>
                <c:pt idx="174">
                  <c:v>3.8804011355338823</c:v>
                </c:pt>
                <c:pt idx="175">
                  <c:v>3.873887523030473</c:v>
                </c:pt>
                <c:pt idx="176">
                  <c:v>3.8674015818136436</c:v>
                </c:pt>
                <c:pt idx="177">
                  <c:v>3.8609431283096054</c:v>
                </c:pt>
                <c:pt idx="178">
                  <c:v>3.8545119806004804</c:v>
                </c:pt>
                <c:pt idx="179">
                  <c:v>3.8481079584054365</c:v>
                </c:pt>
                <c:pt idx="180">
                  <c:v>3.8417308830620751</c:v>
                </c:pt>
              </c:numCache>
            </c:numRef>
          </c:xVal>
          <c:yVal>
            <c:numRef>
              <c:f>'Deliverance II (OF 4.5)'!$E$46:$E$352</c:f>
              <c:numCache>
                <c:formatCode>0.00</c:formatCode>
                <c:ptCount val="307"/>
                <c:pt idx="0">
                  <c:v>180.29639741362371</c:v>
                </c:pt>
                <c:pt idx="1">
                  <c:v>180.31501798953704</c:v>
                </c:pt>
                <c:pt idx="2">
                  <c:v>180.33328607153283</c:v>
                </c:pt>
                <c:pt idx="3">
                  <c:v>180.35120636264841</c:v>
                </c:pt>
                <c:pt idx="4">
                  <c:v>180.36878348820329</c:v>
                </c:pt>
                <c:pt idx="5">
                  <c:v>180.38602199737085</c:v>
                </c:pt>
                <c:pt idx="6">
                  <c:v>180.4029263647129</c:v>
                </c:pt>
                <c:pt idx="7">
                  <c:v>180.4195009916767</c:v>
                </c:pt>
                <c:pt idx="8">
                  <c:v>180.43575020805702</c:v>
                </c:pt>
                <c:pt idx="9">
                  <c:v>180.45167827342269</c:v>
                </c:pt>
                <c:pt idx="10">
                  <c:v>180.46728937851006</c:v>
                </c:pt>
                <c:pt idx="11">
                  <c:v>180.48258764658308</c:v>
                </c:pt>
                <c:pt idx="12">
                  <c:v>180.49757713476197</c:v>
                </c:pt>
                <c:pt idx="13">
                  <c:v>180.51226183532006</c:v>
                </c:pt>
                <c:pt idx="14">
                  <c:v>180.52664567695118</c:v>
                </c:pt>
                <c:pt idx="15">
                  <c:v>180.54073252600713</c:v>
                </c:pt>
                <c:pt idx="16">
                  <c:v>180.55452618770667</c:v>
                </c:pt>
                <c:pt idx="17">
                  <c:v>180.56803040731657</c:v>
                </c:pt>
                <c:pt idx="18">
                  <c:v>180.58124887130583</c:v>
                </c:pt>
                <c:pt idx="19">
                  <c:v>180.59418520847308</c:v>
                </c:pt>
                <c:pt idx="20">
                  <c:v>180.60684299104861</c:v>
                </c:pt>
                <c:pt idx="21">
                  <c:v>180.61922573577118</c:v>
                </c:pt>
                <c:pt idx="22">
                  <c:v>180.63133690494075</c:v>
                </c:pt>
                <c:pt idx="23">
                  <c:v>180.64317990744712</c:v>
                </c:pt>
                <c:pt idx="24">
                  <c:v>180.65475809977573</c:v>
                </c:pt>
                <c:pt idx="25">
                  <c:v>180.66607478699103</c:v>
                </c:pt>
                <c:pt idx="26">
                  <c:v>180.67713322369767</c:v>
                </c:pt>
                <c:pt idx="27">
                  <c:v>180.6879366149804</c:v>
                </c:pt>
                <c:pt idx="28">
                  <c:v>180.69848811732354</c:v>
                </c:pt>
                <c:pt idx="29">
                  <c:v>180.70879083950962</c:v>
                </c:pt>
                <c:pt idx="30">
                  <c:v>180.71884784349876</c:v>
                </c:pt>
                <c:pt idx="31">
                  <c:v>180.72866214528861</c:v>
                </c:pt>
                <c:pt idx="32">
                  <c:v>180.73823671575533</c:v>
                </c:pt>
                <c:pt idx="33">
                  <c:v>180.74757448147682</c:v>
                </c:pt>
                <c:pt idx="34">
                  <c:v>180.75667832553737</c:v>
                </c:pt>
                <c:pt idx="35">
                  <c:v>180.7655510883159</c:v>
                </c:pt>
                <c:pt idx="36">
                  <c:v>180.77419556825643</c:v>
                </c:pt>
                <c:pt idx="37">
                  <c:v>180.7826145226224</c:v>
                </c:pt>
                <c:pt idx="38">
                  <c:v>180.79081066823483</c:v>
                </c:pt>
                <c:pt idx="39">
                  <c:v>180.7987866821949</c:v>
                </c:pt>
                <c:pt idx="40">
                  <c:v>180.80654520259094</c:v>
                </c:pt>
                <c:pt idx="41">
                  <c:v>180.81408882919072</c:v>
                </c:pt>
                <c:pt idx="42">
                  <c:v>180.82142012411913</c:v>
                </c:pt>
                <c:pt idx="43">
                  <c:v>180.82854161252152</c:v>
                </c:pt>
                <c:pt idx="44">
                  <c:v>180.83545578321315</c:v>
                </c:pt>
                <c:pt idx="45">
                  <c:v>180.84216508931533</c:v>
                </c:pt>
                <c:pt idx="46">
                  <c:v>180.84867194887835</c:v>
                </c:pt>
                <c:pt idx="47">
                  <c:v>180.85497874549108</c:v>
                </c:pt>
                <c:pt idx="48">
                  <c:v>180.86108782887831</c:v>
                </c:pt>
                <c:pt idx="49">
                  <c:v>180.86700151548615</c:v>
                </c:pt>
                <c:pt idx="50">
                  <c:v>180.87272208905458</c:v>
                </c:pt>
                <c:pt idx="51">
                  <c:v>180.8782518011792</c:v>
                </c:pt>
                <c:pt idx="52">
                  <c:v>180.88359287186103</c:v>
                </c:pt>
                <c:pt idx="53">
                  <c:v>180.88874749004498</c:v>
                </c:pt>
                <c:pt idx="54">
                  <c:v>180.89371781414826</c:v>
                </c:pt>
                <c:pt idx="55">
                  <c:v>180.89850597257723</c:v>
                </c:pt>
                <c:pt idx="56">
                  <c:v>180.90311406423425</c:v>
                </c:pt>
                <c:pt idx="57">
                  <c:v>180.90754415901446</c:v>
                </c:pt>
                <c:pt idx="58">
                  <c:v>180.91179829829264</c:v>
                </c:pt>
                <c:pt idx="59">
                  <c:v>180.91587849540005</c:v>
                </c:pt>
                <c:pt idx="60">
                  <c:v>180.91978673609236</c:v>
                </c:pt>
                <c:pt idx="61">
                  <c:v>180.92352497900779</c:v>
                </c:pt>
                <c:pt idx="62">
                  <c:v>180.92709515611662</c:v>
                </c:pt>
                <c:pt idx="63">
                  <c:v>180.93049917316148</c:v>
                </c:pt>
                <c:pt idx="64">
                  <c:v>180.93373891008972</c:v>
                </c:pt>
                <c:pt idx="65">
                  <c:v>180.93681622147639</c:v>
                </c:pt>
                <c:pt idx="66">
                  <c:v>180.93973293693978</c:v>
                </c:pt>
                <c:pt idx="67">
                  <c:v>180.94249086154846</c:v>
                </c:pt>
                <c:pt idx="68">
                  <c:v>180.94509177622069</c:v>
                </c:pt>
                <c:pt idx="69">
                  <c:v>180.94753743811603</c:v>
                </c:pt>
                <c:pt idx="70">
                  <c:v>180.94982958101923</c:v>
                </c:pt>
                <c:pt idx="71">
                  <c:v>180.95196991571737</c:v>
                </c:pt>
                <c:pt idx="72">
                  <c:v>180.9539601303691</c:v>
                </c:pt>
                <c:pt idx="73">
                  <c:v>180.95580189086712</c:v>
                </c:pt>
                <c:pt idx="74">
                  <c:v>180.95749684119406</c:v>
                </c:pt>
                <c:pt idx="75">
                  <c:v>180.95904660377124</c:v>
                </c:pt>
                <c:pt idx="76">
                  <c:v>180.96045277980087</c:v>
                </c:pt>
                <c:pt idx="77">
                  <c:v>180.96171694960231</c:v>
                </c:pt>
                <c:pt idx="78">
                  <c:v>180.96284067294121</c:v>
                </c:pt>
                <c:pt idx="79">
                  <c:v>180.96382548935341</c:v>
                </c:pt>
                <c:pt idx="80">
                  <c:v>180.96467291846187</c:v>
                </c:pt>
                <c:pt idx="81">
                  <c:v>180.96538446028853</c:v>
                </c:pt>
                <c:pt idx="82">
                  <c:v>180.96596159556</c:v>
                </c:pt>
                <c:pt idx="83">
                  <c:v>180.96640578600756</c:v>
                </c:pt>
                <c:pt idx="84">
                  <c:v>180.9667184746618</c:v>
                </c:pt>
                <c:pt idx="85">
                  <c:v>180.96690108614175</c:v>
                </c:pt>
                <c:pt idx="86">
                  <c:v>180.96695502693882</c:v>
                </c:pt>
                <c:pt idx="87">
                  <c:v>180.96688168569537</c:v>
                </c:pt>
                <c:pt idx="88">
                  <c:v>180.96668243347858</c:v>
                </c:pt>
                <c:pt idx="89">
                  <c:v>180.96635862404884</c:v>
                </c:pt>
                <c:pt idx="90">
                  <c:v>180.96591159412367</c:v>
                </c:pt>
                <c:pt idx="91">
                  <c:v>180.96534266363679</c:v>
                </c:pt>
                <c:pt idx="92">
                  <c:v>180.96465313599253</c:v>
                </c:pt>
                <c:pt idx="93">
                  <c:v>180.96384429831551</c:v>
                </c:pt>
                <c:pt idx="94">
                  <c:v>180.96291742169623</c:v>
                </c:pt>
                <c:pt idx="95">
                  <c:v>180.96187376143175</c:v>
                </c:pt>
                <c:pt idx="96">
                  <c:v>180.96071455726289</c:v>
                </c:pt>
                <c:pt idx="97">
                  <c:v>180.95944103360603</c:v>
                </c:pt>
                <c:pt idx="98">
                  <c:v>180.95805439978218</c:v>
                </c:pt>
                <c:pt idx="99">
                  <c:v>180.95655585024099</c:v>
                </c:pt>
                <c:pt idx="100">
                  <c:v>180.95494656478124</c:v>
                </c:pt>
                <c:pt idx="101">
                  <c:v>180.95322770876749</c:v>
                </c:pt>
                <c:pt idx="102">
                  <c:v>180.95140043334277</c:v>
                </c:pt>
                <c:pt idx="103">
                  <c:v>180.94946587563763</c:v>
                </c:pt>
                <c:pt idx="104">
                  <c:v>180.9474251589757</c:v>
                </c:pt>
                <c:pt idx="105">
                  <c:v>180.94527939307559</c:v>
                </c:pt>
                <c:pt idx="106">
                  <c:v>180.94302967424909</c:v>
                </c:pt>
                <c:pt idx="107">
                  <c:v>180.94067708559629</c:v>
                </c:pt>
                <c:pt idx="108">
                  <c:v>180.93822269719715</c:v>
                </c:pt>
                <c:pt idx="109">
                  <c:v>180.93566756629994</c:v>
                </c:pt>
                <c:pt idx="110">
                  <c:v>180.93301273750612</c:v>
                </c:pt>
                <c:pt idx="111">
                  <c:v>180.9302592429527</c:v>
                </c:pt>
                <c:pt idx="112">
                  <c:v>180.92740810249066</c:v>
                </c:pt>
                <c:pt idx="113">
                  <c:v>180.9244603238611</c:v>
                </c:pt>
                <c:pt idx="114">
                  <c:v>180.92141690286797</c:v>
                </c:pt>
                <c:pt idx="115">
                  <c:v>180.91827882354815</c:v>
                </c:pt>
                <c:pt idx="116">
                  <c:v>180.9150470583383</c:v>
                </c:pt>
                <c:pt idx="117">
                  <c:v>180.91172256823953</c:v>
                </c:pt>
                <c:pt idx="118">
                  <c:v>180.9083063029785</c:v>
                </c:pt>
                <c:pt idx="119">
                  <c:v>180.90479920116667</c:v>
                </c:pt>
                <c:pt idx="120">
                  <c:v>180.90120219045616</c:v>
                </c:pt>
                <c:pt idx="121">
                  <c:v>180.89751618769364</c:v>
                </c:pt>
                <c:pt idx="122">
                  <c:v>180.89374209907137</c:v>
                </c:pt>
                <c:pt idx="123">
                  <c:v>180.88988082027558</c:v>
                </c:pt>
                <c:pt idx="124">
                  <c:v>180.88593323663272</c:v>
                </c:pt>
                <c:pt idx="125">
                  <c:v>180.88190022325335</c:v>
                </c:pt>
                <c:pt idx="126">
                  <c:v>180.87778264517328</c:v>
                </c:pt>
                <c:pt idx="127">
                  <c:v>180.87358135749272</c:v>
                </c:pt>
                <c:pt idx="128">
                  <c:v>180.86929720551319</c:v>
                </c:pt>
                <c:pt idx="129">
                  <c:v>180.86493102487199</c:v>
                </c:pt>
                <c:pt idx="130">
                  <c:v>180.86048364167465</c:v>
                </c:pt>
                <c:pt idx="131">
                  <c:v>180.85595587262517</c:v>
                </c:pt>
                <c:pt idx="132">
                  <c:v>180.85134852515415</c:v>
                </c:pt>
                <c:pt idx="133">
                  <c:v>180.84666239754503</c:v>
                </c:pt>
                <c:pt idx="134">
                  <c:v>180.84189827905806</c:v>
                </c:pt>
                <c:pt idx="135">
                  <c:v>180.83705695005236</c:v>
                </c:pt>
                <c:pt idx="136">
                  <c:v>180.83213918210618</c:v>
                </c:pt>
                <c:pt idx="137">
                  <c:v>180.82714573813507</c:v>
                </c:pt>
                <c:pt idx="138">
                  <c:v>180.8220773725082</c:v>
                </c:pt>
                <c:pt idx="139">
                  <c:v>180.816934831163</c:v>
                </c:pt>
                <c:pt idx="140">
                  <c:v>180.8117188517177</c:v>
                </c:pt>
                <c:pt idx="141">
                  <c:v>180.80643016358241</c:v>
                </c:pt>
                <c:pt idx="142">
                  <c:v>180.80106948806815</c:v>
                </c:pt>
                <c:pt idx="143">
                  <c:v>180.7956375384945</c:v>
                </c:pt>
                <c:pt idx="144">
                  <c:v>180.79013502029531</c:v>
                </c:pt>
                <c:pt idx="145">
                  <c:v>180.78456263112287</c:v>
                </c:pt>
                <c:pt idx="146">
                  <c:v>180.77892106095021</c:v>
                </c:pt>
                <c:pt idx="147">
                  <c:v>180.77321099217249</c:v>
                </c:pt>
                <c:pt idx="148">
                  <c:v>180.7674330997059</c:v>
                </c:pt>
                <c:pt idx="149">
                  <c:v>180.76158805108577</c:v>
                </c:pt>
                <c:pt idx="150">
                  <c:v>180.75567650656291</c:v>
                </c:pt>
                <c:pt idx="151">
                  <c:v>180.74969911919811</c:v>
                </c:pt>
                <c:pt idx="152">
                  <c:v>180.7436565349561</c:v>
                </c:pt>
                <c:pt idx="153">
                  <c:v>180.73754939279695</c:v>
                </c:pt>
                <c:pt idx="154">
                  <c:v>180.73137832476698</c:v>
                </c:pt>
                <c:pt idx="155">
                  <c:v>180.72514395608781</c:v>
                </c:pt>
                <c:pt idx="156">
                  <c:v>180.71884690524416</c:v>
                </c:pt>
                <c:pt idx="157">
                  <c:v>180.71248778407059</c:v>
                </c:pt>
                <c:pt idx="158">
                  <c:v>180.70606719783612</c:v>
                </c:pt>
                <c:pt idx="159">
                  <c:v>180.69958574532885</c:v>
                </c:pt>
                <c:pt idx="160">
                  <c:v>180.69304401893805</c:v>
                </c:pt>
                <c:pt idx="161">
                  <c:v>180.68644260473582</c:v>
                </c:pt>
                <c:pt idx="162">
                  <c:v>180.67978208255721</c:v>
                </c:pt>
                <c:pt idx="163">
                  <c:v>180.67306302607915</c:v>
                </c:pt>
                <c:pt idx="164">
                  <c:v>180.66628600289837</c:v>
                </c:pt>
                <c:pt idx="165">
                  <c:v>180.659451574608</c:v>
                </c:pt>
                <c:pt idx="166">
                  <c:v>180.65256029687299</c:v>
                </c:pt>
                <c:pt idx="167">
                  <c:v>180.64561271950464</c:v>
                </c:pt>
                <c:pt idx="168">
                  <c:v>180.63860938653386</c:v>
                </c:pt>
                <c:pt idx="169">
                  <c:v>180.63155083628334</c:v>
                </c:pt>
                <c:pt idx="170">
                  <c:v>180.6244376014387</c:v>
                </c:pt>
                <c:pt idx="171">
                  <c:v>180.61727020911877</c:v>
                </c:pt>
                <c:pt idx="172">
                  <c:v>180.61004918094437</c:v>
                </c:pt>
                <c:pt idx="173">
                  <c:v>180.60277503310672</c:v>
                </c:pt>
                <c:pt idx="174">
                  <c:v>180.5954482764343</c:v>
                </c:pt>
                <c:pt idx="175">
                  <c:v>180.58806941645906</c:v>
                </c:pt>
                <c:pt idx="176">
                  <c:v>180.58063895348153</c:v>
                </c:pt>
                <c:pt idx="177">
                  <c:v>180.57315738263512</c:v>
                </c:pt>
                <c:pt idx="178">
                  <c:v>180.56562519394939</c:v>
                </c:pt>
                <c:pt idx="179">
                  <c:v>180.55804287241219</c:v>
                </c:pt>
                <c:pt idx="180">
                  <c:v>180.55041089803149</c:v>
                </c:pt>
              </c:numCache>
            </c:numRef>
          </c:yVal>
          <c:smooth val="1"/>
          <c:extLst>
            <c:ext xmlns:c16="http://schemas.microsoft.com/office/drawing/2014/chart" uri="{C3380CC4-5D6E-409C-BE32-E72D297353CC}">
              <c16:uniqueId val="{00000000-CA23-4A81-9FBD-7E4592D2BCCA}"/>
            </c:ext>
          </c:extLst>
        </c:ser>
        <c:dLbls>
          <c:showLegendKey val="0"/>
          <c:showVal val="0"/>
          <c:showCatName val="0"/>
          <c:showSerName val="0"/>
          <c:showPercent val="0"/>
          <c:showBubbleSize val="0"/>
        </c:dLbls>
        <c:axId val="255308784"/>
        <c:axId val="255306544"/>
      </c:scatterChart>
      <c:valAx>
        <c:axId val="197413296"/>
        <c:scaling>
          <c:orientation val="minMax"/>
          <c:min val="3.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Nozzle Expansion Area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12144"/>
        <c:crosses val="autoZero"/>
        <c:crossBetween val="midCat"/>
      </c:valAx>
      <c:valAx>
        <c:axId val="255312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Average Specific Impulse (s)</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3296"/>
        <c:crosses val="autoZero"/>
        <c:crossBetween val="midCat"/>
      </c:valAx>
      <c:valAx>
        <c:axId val="255306544"/>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08784"/>
        <c:crosses val="max"/>
        <c:crossBetween val="midCat"/>
      </c:valAx>
      <c:valAx>
        <c:axId val="255308784"/>
        <c:scaling>
          <c:orientation val="minMax"/>
        </c:scaling>
        <c:delete val="1"/>
        <c:axPos val="b"/>
        <c:numFmt formatCode="0.00" sourceLinked="1"/>
        <c:majorTickMark val="out"/>
        <c:minorTickMark val="none"/>
        <c:tickLblPos val="nextTo"/>
        <c:crossAx val="255306544"/>
        <c:crosses val="autoZero"/>
        <c:crossBetween val="midCat"/>
      </c:valAx>
      <c:spPr>
        <a:noFill/>
        <a:ln>
          <a:noFill/>
        </a:ln>
        <a:effectLst/>
      </c:spPr>
    </c:plotArea>
    <c:legend>
      <c:legendPos val="r"/>
      <c:layout>
        <c:manualLayout>
          <c:xMode val="edge"/>
          <c:yMode val="edge"/>
          <c:x val="0.60976758126798725"/>
          <c:y val="0.12010509770061488"/>
          <c:w val="0.28093828904821"/>
          <c:h val="0.12703747568188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Effect</a:t>
            </a:r>
            <a:r>
              <a:rPr lang="en-CA" baseline="0"/>
              <a:t> of Nozzle Geometry on Performance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41659222011734"/>
          <c:y val="0.3233678478552196"/>
          <c:w val="0.6345034995625547"/>
          <c:h val="0.41438283756197136"/>
        </c:manualLayout>
      </c:layout>
      <c:scatterChart>
        <c:scatterStyle val="smoothMarker"/>
        <c:varyColors val="0"/>
        <c:ser>
          <c:idx val="1"/>
          <c:order val="1"/>
          <c:tx>
            <c:v>Exit Mach Number</c:v>
          </c:tx>
          <c:spPr>
            <a:ln w="19050" cap="rnd">
              <a:solidFill>
                <a:schemeClr val="accent2"/>
              </a:solidFill>
              <a:round/>
            </a:ln>
            <a:effectLst/>
          </c:spPr>
          <c:marker>
            <c:symbol val="none"/>
          </c:marker>
          <c:xVal>
            <c:numRef>
              <c:f>'Deliverance II'!$D$46:$D$226</c:f>
              <c:numCache>
                <c:formatCode>0.00</c:formatCode>
                <c:ptCount val="181"/>
                <c:pt idx="0">
                  <c:v>6.2091241189396955</c:v>
                </c:pt>
                <c:pt idx="1">
                  <c:v>6.1898782221797477</c:v>
                </c:pt>
                <c:pt idx="2">
                  <c:v>6.1707750956857215</c:v>
                </c:pt>
                <c:pt idx="3">
                  <c:v>6.1518130947256182</c:v>
                </c:pt>
                <c:pt idx="4">
                  <c:v>6.1329906002046641</c:v>
                </c:pt>
                <c:pt idx="5">
                  <c:v>6.1143060181625035</c:v>
                </c:pt>
                <c:pt idx="6">
                  <c:v>6.0957577792820299</c:v>
                </c:pt>
                <c:pt idx="7">
                  <c:v>6.0773443384099535</c:v>
                </c:pt>
                <c:pt idx="8">
                  <c:v>6.0590641740885252</c:v>
                </c:pt>
                <c:pt idx="9">
                  <c:v>6.0409157880981876</c:v>
                </c:pt>
                <c:pt idx="10">
                  <c:v>6.0228977050108066</c:v>
                </c:pt>
                <c:pt idx="11">
                  <c:v>6.0050084717533441</c:v>
                </c:pt>
                <c:pt idx="12">
                  <c:v>5.9872466571814709</c:v>
                </c:pt>
                <c:pt idx="13">
                  <c:v>5.9696108516630808</c:v>
                </c:pt>
                <c:pt idx="14">
                  <c:v>5.9520996666712405</c:v>
                </c:pt>
                <c:pt idx="15">
                  <c:v>5.93471173438643</c:v>
                </c:pt>
                <c:pt idx="16">
                  <c:v>5.9174457073078415</c:v>
                </c:pt>
                <c:pt idx="17">
                  <c:v>5.90030025787346</c:v>
                </c:pt>
                <c:pt idx="18">
                  <c:v>5.8832740780886184</c:v>
                </c:pt>
                <c:pt idx="19">
                  <c:v>5.8663658791629993</c:v>
                </c:pt>
                <c:pt idx="20">
                  <c:v>5.8495743911556612</c:v>
                </c:pt>
                <c:pt idx="21">
                  <c:v>5.83289836262795</c:v>
                </c:pt>
                <c:pt idx="22">
                  <c:v>5.8163365603042321</c:v>
                </c:pt>
                <c:pt idx="23">
                  <c:v>5.7998877687399419</c:v>
                </c:pt>
                <c:pt idx="24">
                  <c:v>5.7835507899970633</c:v>
                </c:pt>
                <c:pt idx="25">
                  <c:v>5.7673244433266806</c:v>
                </c:pt>
                <c:pt idx="26">
                  <c:v>5.7512075648584373</c:v>
                </c:pt>
                <c:pt idx="27">
                  <c:v>5.7351990072968055</c:v>
                </c:pt>
                <c:pt idx="28">
                  <c:v>5.7192976396238553</c:v>
                </c:pt>
                <c:pt idx="29">
                  <c:v>5.7035023468085218</c:v>
                </c:pt>
                <c:pt idx="30">
                  <c:v>5.68781202952208</c:v>
                </c:pt>
                <c:pt idx="31">
                  <c:v>5.6722256038597632</c:v>
                </c:pt>
                <c:pt idx="32">
                  <c:v>5.6567420010682046</c:v>
                </c:pt>
                <c:pt idx="33">
                  <c:v>5.6413601672788731</c:v>
                </c:pt>
                <c:pt idx="34">
                  <c:v>5.6260790632469453</c:v>
                </c:pt>
                <c:pt idx="35">
                  <c:v>5.6108976640958721</c:v>
                </c:pt>
                <c:pt idx="36">
                  <c:v>5.5958149590672006</c:v>
                </c:pt>
                <c:pt idx="37">
                  <c:v>5.5808299512756987</c:v>
                </c:pt>
                <c:pt idx="38">
                  <c:v>5.565941657469561</c:v>
                </c:pt>
                <c:pt idx="39">
                  <c:v>5.5511491077956512</c:v>
                </c:pt>
                <c:pt idx="40">
                  <c:v>5.5364513455695583</c:v>
                </c:pt>
                <c:pt idx="41">
                  <c:v>5.5218474270504387</c:v>
                </c:pt>
                <c:pt idx="42">
                  <c:v>5.5073364212205025</c:v>
                </c:pt>
                <c:pt idx="43">
                  <c:v>5.4929174095689826</c:v>
                </c:pt>
                <c:pt idx="44">
                  <c:v>5.4785894858805735</c:v>
                </c:pt>
                <c:pt idx="45">
                  <c:v>5.4643517560281394</c:v>
                </c:pt>
                <c:pt idx="46">
                  <c:v>5.4502033377696417</c:v>
                </c:pt>
                <c:pt idx="47">
                  <c:v>5.4361433605492095</c:v>
                </c:pt>
                <c:pt idx="48">
                  <c:v>5.4221709653021488</c:v>
                </c:pt>
                <c:pt idx="49">
                  <c:v>5.4082853042639378</c:v>
                </c:pt>
                <c:pt idx="50">
                  <c:v>5.394485540783025</c:v>
                </c:pt>
                <c:pt idx="51">
                  <c:v>5.3807708491373232</c:v>
                </c:pt>
                <c:pt idx="52">
                  <c:v>5.3671404143544441</c:v>
                </c:pt>
                <c:pt idx="53">
                  <c:v>5.3535934320353951</c:v>
                </c:pt>
                <c:pt idx="54">
                  <c:v>5.3401291081817952</c:v>
                </c:pt>
                <c:pt idx="55">
                  <c:v>5.3267466590265533</c:v>
                </c:pt>
                <c:pt idx="56">
                  <c:v>5.3134453108677517</c:v>
                </c:pt>
                <c:pt idx="57">
                  <c:v>5.3002242999058726</c:v>
                </c:pt>
                <c:pt idx="58">
                  <c:v>5.2870828720841425</c:v>
                </c:pt>
                <c:pt idx="59">
                  <c:v>5.274020282932022</c:v>
                </c:pt>
                <c:pt idx="60">
                  <c:v>5.2610357974116848</c:v>
                </c:pt>
                <c:pt idx="61">
                  <c:v>5.2481286897674657</c:v>
                </c:pt>
                <c:pt idx="62">
                  <c:v>5.2352982433782023</c:v>
                </c:pt>
                <c:pt idx="63">
                  <c:v>5.2225437506124477</c:v>
                </c:pt>
                <c:pt idx="64">
                  <c:v>5.2098645126863836</c:v>
                </c:pt>
                <c:pt idx="65">
                  <c:v>5.1972598395244871</c:v>
                </c:pt>
                <c:pt idx="66">
                  <c:v>5.184729049622808</c:v>
                </c:pt>
                <c:pt idx="67">
                  <c:v>5.1722714699148495</c:v>
                </c:pt>
                <c:pt idx="68">
                  <c:v>5.1598864356399892</c:v>
                </c:pt>
                <c:pt idx="69">
                  <c:v>5.1475732902143356</c:v>
                </c:pt>
                <c:pt idx="70">
                  <c:v>5.1353313851040561</c:v>
                </c:pt>
                <c:pt idx="71">
                  <c:v>5.1231600797009875</c:v>
                </c:pt>
                <c:pt idx="72">
                  <c:v>5.1110587412006723</c:v>
                </c:pt>
                <c:pt idx="73">
                  <c:v>5.0990267444825648</c:v>
                </c:pt>
                <c:pt idx="74">
                  <c:v>5.0870634719924759</c:v>
                </c:pt>
                <c:pt idx="75">
                  <c:v>5.0751683136272279</c:v>
                </c:pt>
                <c:pt idx="76">
                  <c:v>5.0633406666213459</c:v>
                </c:pt>
                <c:pt idx="77">
                  <c:v>5.0515799354359352</c:v>
                </c:pt>
                <c:pt idx="78">
                  <c:v>5.0398855316494577</c:v>
                </c:pt>
                <c:pt idx="79">
                  <c:v>5.0282568738506184</c:v>
                </c:pt>
                <c:pt idx="80">
                  <c:v>5.0166933875330821</c:v>
                </c:pt>
                <c:pt idx="81">
                  <c:v>5.0051945049922528</c:v>
                </c:pt>
                <c:pt idx="82">
                  <c:v>4.9937596652236715</c:v>
                </c:pt>
                <c:pt idx="83">
                  <c:v>4.9823883138235114</c:v>
                </c:pt>
                <c:pt idx="84">
                  <c:v>4.9710799028906401</c:v>
                </c:pt>
                <c:pt idx="85">
                  <c:v>4.9598338909305717</c:v>
                </c:pt>
                <c:pt idx="86">
                  <c:v>4.9486497427610443</c:v>
                </c:pt>
                <c:pt idx="87">
                  <c:v>4.9375269294193114</c:v>
                </c:pt>
                <c:pt idx="88">
                  <c:v>4.9264649280710753</c:v>
                </c:pt>
                <c:pt idx="89">
                  <c:v>4.9154632219210219</c:v>
                </c:pt>
                <c:pt idx="90">
                  <c:v>4.9045213001249035</c:v>
                </c:pt>
                <c:pt idx="91">
                  <c:v>4.8936386577032289</c:v>
                </c:pt>
                <c:pt idx="92">
                  <c:v>4.882814795456361</c:v>
                </c:pt>
                <c:pt idx="93">
                  <c:v>4.8720492198812213</c:v>
                </c:pt>
                <c:pt idx="94">
                  <c:v>4.8613414430893256</c:v>
                </c:pt>
                <c:pt idx="95">
                  <c:v>4.8506909827263023</c:v>
                </c:pt>
                <c:pt idx="96">
                  <c:v>4.8400973618928109</c:v>
                </c:pt>
                <c:pt idx="97">
                  <c:v>4.8295601090667688</c:v>
                </c:pt>
                <c:pt idx="98">
                  <c:v>4.8190787580269561</c:v>
                </c:pt>
                <c:pt idx="99">
                  <c:v>4.808652847777938</c:v>
                </c:pt>
                <c:pt idx="100">
                  <c:v>4.7982819224762094</c:v>
                </c:pt>
                <c:pt idx="101">
                  <c:v>4.7879655313576599</c:v>
                </c:pt>
                <c:pt idx="102">
                  <c:v>4.7777032286662537</c:v>
                </c:pt>
                <c:pt idx="103">
                  <c:v>4.7674945735839032</c:v>
                </c:pt>
                <c:pt idx="104">
                  <c:v>4.7573391301615011</c:v>
                </c:pt>
                <c:pt idx="105">
                  <c:v>4.747236467251196</c:v>
                </c:pt>
                <c:pt idx="106">
                  <c:v>4.7371861584397204</c:v>
                </c:pt>
                <c:pt idx="107">
                  <c:v>4.7271877819828534</c:v>
                </c:pt>
                <c:pt idx="108">
                  <c:v>4.7172409207410162</c:v>
                </c:pt>
                <c:pt idx="109">
                  <c:v>4.7073451621158942</c:v>
                </c:pt>
                <c:pt idx="110">
                  <c:v>4.6975000979881543</c:v>
                </c:pt>
                <c:pt idx="111">
                  <c:v>4.687705324656096</c:v>
                </c:pt>
                <c:pt idx="112">
                  <c:v>4.6779604427754728</c:v>
                </c:pt>
                <c:pt idx="113">
                  <c:v>4.6682650573001574</c:v>
                </c:pt>
                <c:pt idx="114">
                  <c:v>4.6586187774238326</c:v>
                </c:pt>
                <c:pt idx="115">
                  <c:v>4.6490212165226739</c:v>
                </c:pt>
                <c:pt idx="116">
                  <c:v>4.6394719920988887</c:v>
                </c:pt>
                <c:pt idx="117">
                  <c:v>4.6299707257252747</c:v>
                </c:pt>
                <c:pt idx="118">
                  <c:v>4.6205170429905369</c:v>
                </c:pt>
                <c:pt idx="119">
                  <c:v>4.6111105734456608</c:v>
                </c:pt>
                <c:pt idx="120">
                  <c:v>4.6017509505509802</c:v>
                </c:pt>
                <c:pt idx="121">
                  <c:v>4.5924378116242339</c:v>
                </c:pt>
                <c:pt idx="122">
                  <c:v>4.5831707977893528</c:v>
                </c:pt>
                <c:pt idx="123">
                  <c:v>4.5739495539261537</c:v>
                </c:pt>
                <c:pt idx="124">
                  <c:v>4.5647737286207466</c:v>
                </c:pt>
                <c:pt idx="125">
                  <c:v>4.5556429741168287</c:v>
                </c:pt>
                <c:pt idx="126">
                  <c:v>4.546556946267625</c:v>
                </c:pt>
                <c:pt idx="127">
                  <c:v>4.5375153044887542</c:v>
                </c:pt>
                <c:pt idx="128">
                  <c:v>4.528517711711638</c:v>
                </c:pt>
                <c:pt idx="129">
                  <c:v>4.5195638343378661</c:v>
                </c:pt>
                <c:pt idx="130">
                  <c:v>4.5106533421940629</c:v>
                </c:pt>
                <c:pt idx="131">
                  <c:v>4.5017859084875989</c:v>
                </c:pt>
                <c:pt idx="132">
                  <c:v>4.4929612097629921</c:v>
                </c:pt>
                <c:pt idx="133">
                  <c:v>4.4841789258588713</c:v>
                </c:pt>
                <c:pt idx="134">
                  <c:v>4.4754387398657407</c:v>
                </c:pt>
                <c:pt idx="135">
                  <c:v>4.4667403380843167</c:v>
                </c:pt>
                <c:pt idx="136">
                  <c:v>4.4580834099845656</c:v>
                </c:pt>
                <c:pt idx="137">
                  <c:v>4.4494676481652844</c:v>
                </c:pt>
                <c:pt idx="138">
                  <c:v>4.4408927483144156</c:v>
                </c:pt>
                <c:pt idx="139">
                  <c:v>4.4323584091698827</c:v>
                </c:pt>
                <c:pt idx="140">
                  <c:v>4.4238643324810427</c:v>
                </c:pt>
                <c:pt idx="141">
                  <c:v>4.4154102229707464</c:v>
                </c:pt>
                <c:pt idx="142">
                  <c:v>4.406995788297996</c:v>
                </c:pt>
                <c:pt idx="143">
                  <c:v>4.3986207390210712</c:v>
                </c:pt>
                <c:pt idx="144">
                  <c:v>4.3902847885613507</c:v>
                </c:pt>
                <c:pt idx="145">
                  <c:v>4.3819876531675499</c:v>
                </c:pt>
                <c:pt idx="146">
                  <c:v>4.3737290518805754</c:v>
                </c:pt>
                <c:pt idx="147">
                  <c:v>4.3655087064988889</c:v>
                </c:pt>
                <c:pt idx="148">
                  <c:v>4.3573263415443853</c:v>
                </c:pt>
                <c:pt idx="149">
                  <c:v>4.3491816842287809</c:v>
                </c:pt>
                <c:pt idx="150">
                  <c:v>4.3410744644204611</c:v>
                </c:pt>
                <c:pt idx="151">
                  <c:v>4.3330044146119171</c:v>
                </c:pt>
                <c:pt idx="152">
                  <c:v>4.3249712698875795</c:v>
                </c:pt>
                <c:pt idx="153">
                  <c:v>4.3169747678921553</c:v>
                </c:pt>
                <c:pt idx="154">
                  <c:v>4.3090146487994119</c:v>
                </c:pt>
                <c:pt idx="155">
                  <c:v>4.301090655281488</c:v>
                </c:pt>
                <c:pt idx="156">
                  <c:v>4.2932025324785386</c:v>
                </c:pt>
                <c:pt idx="157">
                  <c:v>4.2853500279689438</c:v>
                </c:pt>
                <c:pt idx="158">
                  <c:v>4.277532891739888</c:v>
                </c:pt>
                <c:pt idx="159">
                  <c:v>4.2697508761583229</c:v>
                </c:pt>
                <c:pt idx="160">
                  <c:v>4.2620037359424838</c:v>
                </c:pt>
                <c:pt idx="161">
                  <c:v>4.2542912281337006</c:v>
                </c:pt>
                <c:pt idx="162">
                  <c:v>4.2466131120686388</c:v>
                </c:pt>
                <c:pt idx="163">
                  <c:v>4.2389691493519956</c:v>
                </c:pt>
                <c:pt idx="164">
                  <c:v>4.2313591038295009</c:v>
                </c:pt>
                <c:pt idx="165">
                  <c:v>4.2237827415614175</c:v>
                </c:pt>
                <c:pt idx="166">
                  <c:v>4.2162398307962876</c:v>
                </c:pt>
                <c:pt idx="167">
                  <c:v>4.2087301419451535</c:v>
                </c:pt>
                <c:pt idx="168">
                  <c:v>4.2012534475561347</c:v>
                </c:pt>
                <c:pt idx="169">
                  <c:v>4.1938095222893041</c:v>
                </c:pt>
                <c:pt idx="170">
                  <c:v>4.1863981428919699</c:v>
                </c:pt>
                <c:pt idx="171">
                  <c:v>4.1790190881743143</c:v>
                </c:pt>
                <c:pt idx="172">
                  <c:v>4.1716721389853459</c:v>
                </c:pt>
                <c:pt idx="173">
                  <c:v>4.1643570781892034</c:v>
                </c:pt>
                <c:pt idx="174">
                  <c:v>4.1570736906417665</c:v>
                </c:pt>
                <c:pt idx="175">
                  <c:v>4.1498217631676697</c:v>
                </c:pt>
                <c:pt idx="176">
                  <c:v>4.1426010845375263</c:v>
                </c:pt>
                <c:pt idx="177">
                  <c:v>4.1354114454455653</c:v>
                </c:pt>
                <c:pt idx="178">
                  <c:v>4.1282526384875302</c:v>
                </c:pt>
                <c:pt idx="179">
                  <c:v>4.1211244581388717</c:v>
                </c:pt>
                <c:pt idx="180">
                  <c:v>4.114026700733306</c:v>
                </c:pt>
              </c:numCache>
            </c:numRef>
          </c:xVal>
          <c:yVal>
            <c:numRef>
              <c:f>'Deliverance II'!$C$46:$C$226</c:f>
              <c:numCache>
                <c:formatCode>0.00</c:formatCode>
                <c:ptCount val="181"/>
                <c:pt idx="0">
                  <c:v>2.8999798326256792</c:v>
                </c:pt>
                <c:pt idx="1">
                  <c:v>2.8978449442883432</c:v>
                </c:pt>
                <c:pt idx="2">
                  <c:v>2.8957186786560687</c:v>
                </c:pt>
                <c:pt idx="3">
                  <c:v>2.8936009641888512</c:v>
                </c:pt>
                <c:pt idx="4">
                  <c:v>2.8914917302336125</c:v>
                </c:pt>
                <c:pt idx="5">
                  <c:v>2.8893909070096115</c:v>
                </c:pt>
                <c:pt idx="6">
                  <c:v>2.887298425594147</c:v>
                </c:pt>
                <c:pt idx="7">
                  <c:v>2.8852142179085511</c:v>
                </c:pt>
                <c:pt idx="8">
                  <c:v>2.8831382167044759</c:v>
                </c:pt>
                <c:pt idx="9">
                  <c:v>2.8810703555504453</c:v>
                </c:pt>
                <c:pt idx="10">
                  <c:v>2.8790105688186869</c:v>
                </c:pt>
                <c:pt idx="11">
                  <c:v>2.8769587916722235</c:v>
                </c:pt>
                <c:pt idx="12">
                  <c:v>2.874914960052223</c:v>
                </c:pt>
                <c:pt idx="13">
                  <c:v>2.8728790106656037</c:v>
                </c:pt>
                <c:pt idx="14">
                  <c:v>2.8708508809728808</c:v>
                </c:pt>
                <c:pt idx="15">
                  <c:v>2.8688305091762549</c:v>
                </c:pt>
                <c:pt idx="16">
                  <c:v>2.866817834207934</c:v>
                </c:pt>
                <c:pt idx="17">
                  <c:v>2.864812795718688</c:v>
                </c:pt>
                <c:pt idx="18">
                  <c:v>2.8628153340666178</c:v>
                </c:pt>
                <c:pt idx="19">
                  <c:v>2.8608253903061551</c:v>
                </c:pt>
                <c:pt idx="20">
                  <c:v>2.8588429061772644</c:v>
                </c:pt>
                <c:pt idx="21">
                  <c:v>2.8568678240948575</c:v>
                </c:pt>
                <c:pt idx="22">
                  <c:v>2.8549000871384149</c:v>
                </c:pt>
                <c:pt idx="23">
                  <c:v>2.8529396390417969</c:v>
                </c:pt>
                <c:pt idx="24">
                  <c:v>2.850986424183259</c:v>
                </c:pt>
                <c:pt idx="25">
                  <c:v>2.8490403875756529</c:v>
                </c:pt>
                <c:pt idx="26">
                  <c:v>2.8471014748568084</c:v>
                </c:pt>
                <c:pt idx="27">
                  <c:v>2.8451696322801054</c:v>
                </c:pt>
                <c:pt idx="28">
                  <c:v>2.8432448067052158</c:v>
                </c:pt>
                <c:pt idx="29">
                  <c:v>2.8413269455890218</c:v>
                </c:pt>
                <c:pt idx="30">
                  <c:v>2.8394159969767032</c:v>
                </c:pt>
                <c:pt idx="31">
                  <c:v>2.8375119094929926</c:v>
                </c:pt>
                <c:pt idx="32">
                  <c:v>2.8356146323335856</c:v>
                </c:pt>
                <c:pt idx="33">
                  <c:v>2.8337241152567163</c:v>
                </c:pt>
                <c:pt idx="34">
                  <c:v>2.8318403085748858</c:v>
                </c:pt>
                <c:pt idx="35">
                  <c:v>2.8299631631467403</c:v>
                </c:pt>
                <c:pt idx="36">
                  <c:v>2.828092630369099</c:v>
                </c:pt>
                <c:pt idx="37">
                  <c:v>2.8262286621691253</c:v>
                </c:pt>
                <c:pt idx="38">
                  <c:v>2.8243712109966421</c:v>
                </c:pt>
                <c:pt idx="39">
                  <c:v>2.8225202298165843</c:v>
                </c:pt>
                <c:pt idx="40">
                  <c:v>2.8206756721015855</c:v>
                </c:pt>
                <c:pt idx="41">
                  <c:v>2.8188374918247017</c:v>
                </c:pt>
                <c:pt idx="42">
                  <c:v>2.8170056434522608</c:v>
                </c:pt>
                <c:pt idx="43">
                  <c:v>2.8151800819368398</c:v>
                </c:pt>
                <c:pt idx="44">
                  <c:v>2.8133607627103703</c:v>
                </c:pt>
                <c:pt idx="45">
                  <c:v>2.811547641677361</c:v>
                </c:pt>
                <c:pt idx="46">
                  <c:v>2.8097406752082397</c:v>
                </c:pt>
                <c:pt idx="47">
                  <c:v>2.8079398201328183</c:v>
                </c:pt>
                <c:pt idx="48">
                  <c:v>2.8061450337338636</c:v>
                </c:pt>
                <c:pt idx="49">
                  <c:v>2.8043562737407846</c:v>
                </c:pt>
                <c:pt idx="50">
                  <c:v>2.8025734983234321</c:v>
                </c:pt>
                <c:pt idx="51">
                  <c:v>2.800796666085994</c:v>
                </c:pt>
                <c:pt idx="52">
                  <c:v>2.7990257360610151</c:v>
                </c:pt>
                <c:pt idx="53">
                  <c:v>2.7972606677034997</c:v>
                </c:pt>
                <c:pt idx="54">
                  <c:v>2.7955014208851252</c:v>
                </c:pt>
                <c:pt idx="55">
                  <c:v>2.7937479558885592</c:v>
                </c:pt>
                <c:pt idx="56">
                  <c:v>2.7920002334018585</c:v>
                </c:pt>
                <c:pt idx="57">
                  <c:v>2.7902582145129777</c:v>
                </c:pt>
                <c:pt idx="58">
                  <c:v>2.7885218607043618</c:v>
                </c:pt>
                <c:pt idx="59">
                  <c:v>2.7867911338476348</c:v>
                </c:pt>
                <c:pt idx="60">
                  <c:v>2.785065996198373</c:v>
                </c:pt>
                <c:pt idx="61">
                  <c:v>2.7833464103909673</c:v>
                </c:pt>
                <c:pt idx="62">
                  <c:v>2.7816323394335729</c:v>
                </c:pt>
                <c:pt idx="63">
                  <c:v>2.7799237467031426</c:v>
                </c:pt>
                <c:pt idx="64">
                  <c:v>2.7782205959405384</c:v>
                </c:pt>
                <c:pt idx="65">
                  <c:v>2.7765228512457298</c:v>
                </c:pt>
                <c:pt idx="66">
                  <c:v>2.7748304770730647</c:v>
                </c:pt>
                <c:pt idx="67">
                  <c:v>2.7731434382266231</c:v>
                </c:pt>
                <c:pt idx="68">
                  <c:v>2.7714616998556441</c:v>
                </c:pt>
                <c:pt idx="69">
                  <c:v>2.769785227450027</c:v>
                </c:pt>
                <c:pt idx="70">
                  <c:v>2.7681139868359099</c:v>
                </c:pt>
                <c:pt idx="71">
                  <c:v>2.7664479441713086</c:v>
                </c:pt>
                <c:pt idx="72">
                  <c:v>2.7647870659418414</c:v>
                </c:pt>
                <c:pt idx="73" formatCode="0.000000">
                  <c:v>2.7631313189565119</c:v>
                </c:pt>
                <c:pt idx="74">
                  <c:v>2.7614806703435595</c:v>
                </c:pt>
                <c:pt idx="75">
                  <c:v>2.7598350875463824</c:v>
                </c:pt>
                <c:pt idx="76">
                  <c:v>2.7581945383195197</c:v>
                </c:pt>
                <c:pt idx="77">
                  <c:v>2.756558990724701</c:v>
                </c:pt>
                <c:pt idx="78">
                  <c:v>2.7549284131269549</c:v>
                </c:pt>
                <c:pt idx="79">
                  <c:v>2.7533027741907858</c:v>
                </c:pt>
                <c:pt idx="80">
                  <c:v>2.7516820428763964</c:v>
                </c:pt>
                <c:pt idx="81">
                  <c:v>2.7500661884359925</c:v>
                </c:pt>
                <c:pt idx="82">
                  <c:v>2.7484551804101187</c:v>
                </c:pt>
                <c:pt idx="83">
                  <c:v>2.7468489886240723</c:v>
                </c:pt>
                <c:pt idx="84">
                  <c:v>2.7452475831843648</c:v>
                </c:pt>
                <c:pt idx="85">
                  <c:v>2.7436509344752338</c:v>
                </c:pt>
                <c:pt idx="86">
                  <c:v>2.7420590131552185</c:v>
                </c:pt>
                <c:pt idx="87">
                  <c:v>2.7404717901537796</c:v>
                </c:pt>
                <c:pt idx="88">
                  <c:v>2.7388892366679745</c:v>
                </c:pt>
                <c:pt idx="89">
                  <c:v>2.7373113241591862</c:v>
                </c:pt>
                <c:pt idx="90">
                  <c:v>2.7357380243498932</c:v>
                </c:pt>
                <c:pt idx="91">
                  <c:v>2.7341693092204999</c:v>
                </c:pt>
                <c:pt idx="92">
                  <c:v>2.7326051510062039</c:v>
                </c:pt>
                <c:pt idx="93">
                  <c:v>2.7310455221939218</c:v>
                </c:pt>
                <c:pt idx="94">
                  <c:v>2.7294903955192509</c:v>
                </c:pt>
                <c:pt idx="95">
                  <c:v>2.7279397439634816</c:v>
                </c:pt>
                <c:pt idx="96">
                  <c:v>2.7263935407506574</c:v>
                </c:pt>
                <c:pt idx="97">
                  <c:v>2.7248517593446731</c:v>
                </c:pt>
                <c:pt idx="98">
                  <c:v>2.7233143734464158</c:v>
                </c:pt>
                <c:pt idx="99">
                  <c:v>2.7217813569909581</c:v>
                </c:pt>
                <c:pt idx="100">
                  <c:v>2.7202526841447789</c:v>
                </c:pt>
                <c:pt idx="101">
                  <c:v>2.7187283293030338</c:v>
                </c:pt>
                <c:pt idx="102">
                  <c:v>2.7172082670868667</c:v>
                </c:pt>
                <c:pt idx="103">
                  <c:v>2.7156924723407569</c:v>
                </c:pt>
                <c:pt idx="104">
                  <c:v>2.7141809201299019</c:v>
                </c:pt>
                <c:pt idx="105">
                  <c:v>2.7126735857376496</c:v>
                </c:pt>
                <c:pt idx="106">
                  <c:v>2.7111704446629559</c:v>
                </c:pt>
                <c:pt idx="107">
                  <c:v>2.7096714726178832</c:v>
                </c:pt>
                <c:pt idx="108">
                  <c:v>2.7081766455251408</c:v>
                </c:pt>
                <c:pt idx="109">
                  <c:v>2.7066859395156522</c:v>
                </c:pt>
                <c:pt idx="110">
                  <c:v>2.7051993309261619</c:v>
                </c:pt>
                <c:pt idx="111">
                  <c:v>2.7037167962968742</c:v>
                </c:pt>
                <c:pt idx="112">
                  <c:v>2.7022383123691296</c:v>
                </c:pt>
                <c:pt idx="113">
                  <c:v>2.70076385608311</c:v>
                </c:pt>
                <c:pt idx="114">
                  <c:v>2.6992934045755801</c:v>
                </c:pt>
                <c:pt idx="115">
                  <c:v>2.6978269351776567</c:v>
                </c:pt>
                <c:pt idx="116">
                  <c:v>2.6963644254126127</c:v>
                </c:pt>
                <c:pt idx="117">
                  <c:v>2.6949058529937115</c:v>
                </c:pt>
                <c:pt idx="118">
                  <c:v>2.6934511958220724</c:v>
                </c:pt>
                <c:pt idx="119">
                  <c:v>2.692000431984563</c:v>
                </c:pt>
                <c:pt idx="120">
                  <c:v>2.6905535397517233</c:v>
                </c:pt>
                <c:pt idx="121">
                  <c:v>2.6891104975757214</c:v>
                </c:pt>
                <c:pt idx="122">
                  <c:v>2.6876712840883288</c:v>
                </c:pt>
                <c:pt idx="123">
                  <c:v>2.6862358780989362</c:v>
                </c:pt>
                <c:pt idx="124">
                  <c:v>2.6848042585925853</c:v>
                </c:pt>
                <c:pt idx="125">
                  <c:v>2.6833764047280355</c:v>
                </c:pt>
                <c:pt idx="126">
                  <c:v>2.6819522958358504</c:v>
                </c:pt>
                <c:pt idx="127">
                  <c:v>2.6805319114165203</c:v>
                </c:pt>
                <c:pt idx="128">
                  <c:v>2.6791152311385953</c:v>
                </c:pt>
                <c:pt idx="129">
                  <c:v>2.6777022348368642</c:v>
                </c:pt>
                <c:pt idx="130">
                  <c:v>2.676292902510538</c:v>
                </c:pt>
                <c:pt idx="131">
                  <c:v>2.6748872143214677</c:v>
                </c:pt>
                <c:pt idx="132">
                  <c:v>2.6734851505923922</c:v>
                </c:pt>
                <c:pt idx="133">
                  <c:v>2.6720866918051942</c:v>
                </c:pt>
                <c:pt idx="134">
                  <c:v>2.670691818599193</c:v>
                </c:pt>
                <c:pt idx="135">
                  <c:v>2.6693005117694555</c:v>
                </c:pt>
                <c:pt idx="136">
                  <c:v>2.6679127522651291</c:v>
                </c:pt>
                <c:pt idx="137">
                  <c:v>2.6665285211877952</c:v>
                </c:pt>
                <c:pt idx="138">
                  <c:v>2.6651477997898509</c:v>
                </c:pt>
                <c:pt idx="139">
                  <c:v>2.6637705694729066</c:v>
                </c:pt>
                <c:pt idx="140">
                  <c:v>2.6623968117862051</c:v>
                </c:pt>
                <c:pt idx="141">
                  <c:v>2.6610265084250622</c:v>
                </c:pt>
                <c:pt idx="142">
                  <c:v>2.6596596412293336</c:v>
                </c:pt>
                <c:pt idx="143">
                  <c:v>2.6582961921818895</c:v>
                </c:pt>
                <c:pt idx="144">
                  <c:v>2.656936143407123</c:v>
                </c:pt>
                <c:pt idx="145">
                  <c:v>2.655579477169467</c:v>
                </c:pt>
                <c:pt idx="146">
                  <c:v>2.6542261758719357</c:v>
                </c:pt>
                <c:pt idx="147">
                  <c:v>2.6528762220546862</c:v>
                </c:pt>
                <c:pt idx="148">
                  <c:v>2.6515295983935951</c:v>
                </c:pt>
                <c:pt idx="149">
                  <c:v>2.650186287698856</c:v>
                </c:pt>
                <c:pt idx="150">
                  <c:v>2.6488462729135906</c:v>
                </c:pt>
                <c:pt idx="151">
                  <c:v>2.6475095371124873</c:v>
                </c:pt>
                <c:pt idx="152">
                  <c:v>2.6461760635004472</c:v>
                </c:pt>
                <c:pt idx="153">
                  <c:v>2.6448458354112523</c:v>
                </c:pt>
                <c:pt idx="154">
                  <c:v>2.643518836306249</c:v>
                </c:pt>
                <c:pt idx="155">
                  <c:v>2.6421950497730506</c:v>
                </c:pt>
                <c:pt idx="156">
                  <c:v>2.6408744595242553</c:v>
                </c:pt>
                <c:pt idx="157">
                  <c:v>2.6395570493961764</c:v>
                </c:pt>
                <c:pt idx="158">
                  <c:v>2.6382428033475986</c:v>
                </c:pt>
                <c:pt idx="159">
                  <c:v>2.6369317054585348</c:v>
                </c:pt>
                <c:pt idx="160">
                  <c:v>2.6356237399290152</c:v>
                </c:pt>
                <c:pt idx="161">
                  <c:v>2.6343188910778794</c:v>
                </c:pt>
                <c:pt idx="162">
                  <c:v>2.6330171433415881</c:v>
                </c:pt>
                <c:pt idx="163">
                  <c:v>2.631718481273051</c:v>
                </c:pt>
                <c:pt idx="164">
                  <c:v>2.6304228895404642</c:v>
                </c:pt>
                <c:pt idx="165">
                  <c:v>2.6291303529261709</c:v>
                </c:pt>
                <c:pt idx="166">
                  <c:v>2.627840856325526</c:v>
                </c:pt>
                <c:pt idx="167">
                  <c:v>2.6265543847457793</c:v>
                </c:pt>
                <c:pt idx="168">
                  <c:v>2.625270923304976</c:v>
                </c:pt>
                <c:pt idx="169">
                  <c:v>2.6239904572308674</c:v>
                </c:pt>
                <c:pt idx="170">
                  <c:v>2.6227129718598281</c:v>
                </c:pt>
                <c:pt idx="171">
                  <c:v>2.6214384526358034</c:v>
                </c:pt>
                <c:pt idx="172">
                  <c:v>2.6201668851092492</c:v>
                </c:pt>
                <c:pt idx="173">
                  <c:v>2.6188982549361048</c:v>
                </c:pt>
                <c:pt idx="174">
                  <c:v>2.6176325478767581</c:v>
                </c:pt>
                <c:pt idx="175">
                  <c:v>2.616369749795044</c:v>
                </c:pt>
                <c:pt idx="176">
                  <c:v>2.6151098466572344</c:v>
                </c:pt>
                <c:pt idx="177">
                  <c:v>2.6138528245310595</c:v>
                </c:pt>
                <c:pt idx="178">
                  <c:v>2.6125986695847248</c:v>
                </c:pt>
                <c:pt idx="179">
                  <c:v>2.6113473680859496</c:v>
                </c:pt>
                <c:pt idx="180">
                  <c:v>2.6100989064010167</c:v>
                </c:pt>
              </c:numCache>
            </c:numRef>
          </c:yVal>
          <c:smooth val="1"/>
          <c:extLst>
            <c:ext xmlns:c16="http://schemas.microsoft.com/office/drawing/2014/chart" uri="{C3380CC4-5D6E-409C-BE32-E72D297353CC}">
              <c16:uniqueId val="{00000002-CA23-4A81-9FBD-7E4592D2BCCA}"/>
            </c:ext>
          </c:extLst>
        </c:ser>
        <c:dLbls>
          <c:showLegendKey val="0"/>
          <c:showVal val="0"/>
          <c:showCatName val="0"/>
          <c:showSerName val="0"/>
          <c:showPercent val="0"/>
          <c:showBubbleSize val="0"/>
        </c:dLbls>
        <c:axId val="255310464"/>
        <c:axId val="255313264"/>
      </c:scatterChart>
      <c:scatterChart>
        <c:scatterStyle val="smoothMarker"/>
        <c:varyColors val="0"/>
        <c:ser>
          <c:idx val="0"/>
          <c:order val="0"/>
          <c:tx>
            <c:v>Average Specific Impulse</c:v>
          </c:tx>
          <c:spPr>
            <a:ln w="19050" cap="rnd">
              <a:solidFill>
                <a:schemeClr val="accent1"/>
              </a:solidFill>
              <a:round/>
            </a:ln>
            <a:effectLst/>
          </c:spPr>
          <c:marker>
            <c:symbol val="none"/>
          </c:marker>
          <c:xVal>
            <c:numRef>
              <c:f>'Deliverance II'!$D$46:$D$226</c:f>
              <c:numCache>
                <c:formatCode>0.00</c:formatCode>
                <c:ptCount val="181"/>
                <c:pt idx="0">
                  <c:v>6.2091241189396955</c:v>
                </c:pt>
                <c:pt idx="1">
                  <c:v>6.1898782221797477</c:v>
                </c:pt>
                <c:pt idx="2">
                  <c:v>6.1707750956857215</c:v>
                </c:pt>
                <c:pt idx="3">
                  <c:v>6.1518130947256182</c:v>
                </c:pt>
                <c:pt idx="4">
                  <c:v>6.1329906002046641</c:v>
                </c:pt>
                <c:pt idx="5">
                  <c:v>6.1143060181625035</c:v>
                </c:pt>
                <c:pt idx="6">
                  <c:v>6.0957577792820299</c:v>
                </c:pt>
                <c:pt idx="7">
                  <c:v>6.0773443384099535</c:v>
                </c:pt>
                <c:pt idx="8">
                  <c:v>6.0590641740885252</c:v>
                </c:pt>
                <c:pt idx="9">
                  <c:v>6.0409157880981876</c:v>
                </c:pt>
                <c:pt idx="10">
                  <c:v>6.0228977050108066</c:v>
                </c:pt>
                <c:pt idx="11">
                  <c:v>6.0050084717533441</c:v>
                </c:pt>
                <c:pt idx="12">
                  <c:v>5.9872466571814709</c:v>
                </c:pt>
                <c:pt idx="13">
                  <c:v>5.9696108516630808</c:v>
                </c:pt>
                <c:pt idx="14">
                  <c:v>5.9520996666712405</c:v>
                </c:pt>
                <c:pt idx="15">
                  <c:v>5.93471173438643</c:v>
                </c:pt>
                <c:pt idx="16">
                  <c:v>5.9174457073078415</c:v>
                </c:pt>
                <c:pt idx="17">
                  <c:v>5.90030025787346</c:v>
                </c:pt>
                <c:pt idx="18">
                  <c:v>5.8832740780886184</c:v>
                </c:pt>
                <c:pt idx="19">
                  <c:v>5.8663658791629993</c:v>
                </c:pt>
                <c:pt idx="20">
                  <c:v>5.8495743911556612</c:v>
                </c:pt>
                <c:pt idx="21">
                  <c:v>5.83289836262795</c:v>
                </c:pt>
                <c:pt idx="22">
                  <c:v>5.8163365603042321</c:v>
                </c:pt>
                <c:pt idx="23">
                  <c:v>5.7998877687399419</c:v>
                </c:pt>
                <c:pt idx="24">
                  <c:v>5.7835507899970633</c:v>
                </c:pt>
                <c:pt idx="25">
                  <c:v>5.7673244433266806</c:v>
                </c:pt>
                <c:pt idx="26">
                  <c:v>5.7512075648584373</c:v>
                </c:pt>
                <c:pt idx="27">
                  <c:v>5.7351990072968055</c:v>
                </c:pt>
                <c:pt idx="28">
                  <c:v>5.7192976396238553</c:v>
                </c:pt>
                <c:pt idx="29">
                  <c:v>5.7035023468085218</c:v>
                </c:pt>
                <c:pt idx="30">
                  <c:v>5.68781202952208</c:v>
                </c:pt>
                <c:pt idx="31">
                  <c:v>5.6722256038597632</c:v>
                </c:pt>
                <c:pt idx="32">
                  <c:v>5.6567420010682046</c:v>
                </c:pt>
                <c:pt idx="33">
                  <c:v>5.6413601672788731</c:v>
                </c:pt>
                <c:pt idx="34">
                  <c:v>5.6260790632469453</c:v>
                </c:pt>
                <c:pt idx="35">
                  <c:v>5.6108976640958721</c:v>
                </c:pt>
                <c:pt idx="36">
                  <c:v>5.5958149590672006</c:v>
                </c:pt>
                <c:pt idx="37">
                  <c:v>5.5808299512756987</c:v>
                </c:pt>
                <c:pt idx="38">
                  <c:v>5.565941657469561</c:v>
                </c:pt>
                <c:pt idx="39">
                  <c:v>5.5511491077956512</c:v>
                </c:pt>
                <c:pt idx="40">
                  <c:v>5.5364513455695583</c:v>
                </c:pt>
                <c:pt idx="41">
                  <c:v>5.5218474270504387</c:v>
                </c:pt>
                <c:pt idx="42">
                  <c:v>5.5073364212205025</c:v>
                </c:pt>
                <c:pt idx="43">
                  <c:v>5.4929174095689826</c:v>
                </c:pt>
                <c:pt idx="44">
                  <c:v>5.4785894858805735</c:v>
                </c:pt>
                <c:pt idx="45">
                  <c:v>5.4643517560281394</c:v>
                </c:pt>
                <c:pt idx="46">
                  <c:v>5.4502033377696417</c:v>
                </c:pt>
                <c:pt idx="47">
                  <c:v>5.4361433605492095</c:v>
                </c:pt>
                <c:pt idx="48">
                  <c:v>5.4221709653021488</c:v>
                </c:pt>
                <c:pt idx="49">
                  <c:v>5.4082853042639378</c:v>
                </c:pt>
                <c:pt idx="50">
                  <c:v>5.394485540783025</c:v>
                </c:pt>
                <c:pt idx="51">
                  <c:v>5.3807708491373232</c:v>
                </c:pt>
                <c:pt idx="52">
                  <c:v>5.3671404143544441</c:v>
                </c:pt>
                <c:pt idx="53">
                  <c:v>5.3535934320353951</c:v>
                </c:pt>
                <c:pt idx="54">
                  <c:v>5.3401291081817952</c:v>
                </c:pt>
                <c:pt idx="55">
                  <c:v>5.3267466590265533</c:v>
                </c:pt>
                <c:pt idx="56">
                  <c:v>5.3134453108677517</c:v>
                </c:pt>
                <c:pt idx="57">
                  <c:v>5.3002242999058726</c:v>
                </c:pt>
                <c:pt idx="58">
                  <c:v>5.2870828720841425</c:v>
                </c:pt>
                <c:pt idx="59">
                  <c:v>5.274020282932022</c:v>
                </c:pt>
                <c:pt idx="60">
                  <c:v>5.2610357974116848</c:v>
                </c:pt>
                <c:pt idx="61">
                  <c:v>5.2481286897674657</c:v>
                </c:pt>
                <c:pt idx="62">
                  <c:v>5.2352982433782023</c:v>
                </c:pt>
                <c:pt idx="63">
                  <c:v>5.2225437506124477</c:v>
                </c:pt>
                <c:pt idx="64">
                  <c:v>5.2098645126863836</c:v>
                </c:pt>
                <c:pt idx="65">
                  <c:v>5.1972598395244871</c:v>
                </c:pt>
                <c:pt idx="66">
                  <c:v>5.184729049622808</c:v>
                </c:pt>
                <c:pt idx="67">
                  <c:v>5.1722714699148495</c:v>
                </c:pt>
                <c:pt idx="68">
                  <c:v>5.1598864356399892</c:v>
                </c:pt>
                <c:pt idx="69">
                  <c:v>5.1475732902143356</c:v>
                </c:pt>
                <c:pt idx="70">
                  <c:v>5.1353313851040561</c:v>
                </c:pt>
                <c:pt idx="71">
                  <c:v>5.1231600797009875</c:v>
                </c:pt>
                <c:pt idx="72">
                  <c:v>5.1110587412006723</c:v>
                </c:pt>
                <c:pt idx="73">
                  <c:v>5.0990267444825648</c:v>
                </c:pt>
                <c:pt idx="74">
                  <c:v>5.0870634719924759</c:v>
                </c:pt>
                <c:pt idx="75">
                  <c:v>5.0751683136272279</c:v>
                </c:pt>
                <c:pt idx="76">
                  <c:v>5.0633406666213459</c:v>
                </c:pt>
                <c:pt idx="77">
                  <c:v>5.0515799354359352</c:v>
                </c:pt>
                <c:pt idx="78">
                  <c:v>5.0398855316494577</c:v>
                </c:pt>
                <c:pt idx="79">
                  <c:v>5.0282568738506184</c:v>
                </c:pt>
                <c:pt idx="80">
                  <c:v>5.0166933875330821</c:v>
                </c:pt>
                <c:pt idx="81">
                  <c:v>5.0051945049922528</c:v>
                </c:pt>
                <c:pt idx="82">
                  <c:v>4.9937596652236715</c:v>
                </c:pt>
                <c:pt idx="83">
                  <c:v>4.9823883138235114</c:v>
                </c:pt>
                <c:pt idx="84">
                  <c:v>4.9710799028906401</c:v>
                </c:pt>
                <c:pt idx="85">
                  <c:v>4.9598338909305717</c:v>
                </c:pt>
                <c:pt idx="86">
                  <c:v>4.9486497427610443</c:v>
                </c:pt>
                <c:pt idx="87">
                  <c:v>4.9375269294193114</c:v>
                </c:pt>
                <c:pt idx="88">
                  <c:v>4.9264649280710753</c:v>
                </c:pt>
                <c:pt idx="89">
                  <c:v>4.9154632219210219</c:v>
                </c:pt>
                <c:pt idx="90">
                  <c:v>4.9045213001249035</c:v>
                </c:pt>
                <c:pt idx="91">
                  <c:v>4.8936386577032289</c:v>
                </c:pt>
                <c:pt idx="92">
                  <c:v>4.882814795456361</c:v>
                </c:pt>
                <c:pt idx="93">
                  <c:v>4.8720492198812213</c:v>
                </c:pt>
                <c:pt idx="94">
                  <c:v>4.8613414430893256</c:v>
                </c:pt>
                <c:pt idx="95">
                  <c:v>4.8506909827263023</c:v>
                </c:pt>
                <c:pt idx="96">
                  <c:v>4.8400973618928109</c:v>
                </c:pt>
                <c:pt idx="97">
                  <c:v>4.8295601090667688</c:v>
                </c:pt>
                <c:pt idx="98">
                  <c:v>4.8190787580269561</c:v>
                </c:pt>
                <c:pt idx="99">
                  <c:v>4.808652847777938</c:v>
                </c:pt>
                <c:pt idx="100">
                  <c:v>4.7982819224762094</c:v>
                </c:pt>
                <c:pt idx="101">
                  <c:v>4.7879655313576599</c:v>
                </c:pt>
                <c:pt idx="102">
                  <c:v>4.7777032286662537</c:v>
                </c:pt>
                <c:pt idx="103">
                  <c:v>4.7674945735839032</c:v>
                </c:pt>
                <c:pt idx="104">
                  <c:v>4.7573391301615011</c:v>
                </c:pt>
                <c:pt idx="105">
                  <c:v>4.747236467251196</c:v>
                </c:pt>
                <c:pt idx="106">
                  <c:v>4.7371861584397204</c:v>
                </c:pt>
                <c:pt idx="107">
                  <c:v>4.7271877819828534</c:v>
                </c:pt>
                <c:pt idx="108">
                  <c:v>4.7172409207410162</c:v>
                </c:pt>
                <c:pt idx="109">
                  <c:v>4.7073451621158942</c:v>
                </c:pt>
                <c:pt idx="110">
                  <c:v>4.6975000979881543</c:v>
                </c:pt>
                <c:pt idx="111">
                  <c:v>4.687705324656096</c:v>
                </c:pt>
                <c:pt idx="112">
                  <c:v>4.6779604427754728</c:v>
                </c:pt>
                <c:pt idx="113">
                  <c:v>4.6682650573001574</c:v>
                </c:pt>
                <c:pt idx="114">
                  <c:v>4.6586187774238326</c:v>
                </c:pt>
                <c:pt idx="115">
                  <c:v>4.6490212165226739</c:v>
                </c:pt>
                <c:pt idx="116">
                  <c:v>4.6394719920988887</c:v>
                </c:pt>
                <c:pt idx="117">
                  <c:v>4.6299707257252747</c:v>
                </c:pt>
                <c:pt idx="118">
                  <c:v>4.6205170429905369</c:v>
                </c:pt>
                <c:pt idx="119">
                  <c:v>4.6111105734456608</c:v>
                </c:pt>
                <c:pt idx="120">
                  <c:v>4.6017509505509802</c:v>
                </c:pt>
                <c:pt idx="121">
                  <c:v>4.5924378116242339</c:v>
                </c:pt>
                <c:pt idx="122">
                  <c:v>4.5831707977893528</c:v>
                </c:pt>
                <c:pt idx="123">
                  <c:v>4.5739495539261537</c:v>
                </c:pt>
                <c:pt idx="124">
                  <c:v>4.5647737286207466</c:v>
                </c:pt>
                <c:pt idx="125">
                  <c:v>4.5556429741168287</c:v>
                </c:pt>
                <c:pt idx="126">
                  <c:v>4.546556946267625</c:v>
                </c:pt>
                <c:pt idx="127">
                  <c:v>4.5375153044887542</c:v>
                </c:pt>
                <c:pt idx="128">
                  <c:v>4.528517711711638</c:v>
                </c:pt>
                <c:pt idx="129">
                  <c:v>4.5195638343378661</c:v>
                </c:pt>
                <c:pt idx="130">
                  <c:v>4.5106533421940629</c:v>
                </c:pt>
                <c:pt idx="131">
                  <c:v>4.5017859084875989</c:v>
                </c:pt>
                <c:pt idx="132">
                  <c:v>4.4929612097629921</c:v>
                </c:pt>
                <c:pt idx="133">
                  <c:v>4.4841789258588713</c:v>
                </c:pt>
                <c:pt idx="134">
                  <c:v>4.4754387398657407</c:v>
                </c:pt>
                <c:pt idx="135">
                  <c:v>4.4667403380843167</c:v>
                </c:pt>
                <c:pt idx="136">
                  <c:v>4.4580834099845656</c:v>
                </c:pt>
                <c:pt idx="137">
                  <c:v>4.4494676481652844</c:v>
                </c:pt>
                <c:pt idx="138">
                  <c:v>4.4408927483144156</c:v>
                </c:pt>
                <c:pt idx="139">
                  <c:v>4.4323584091698827</c:v>
                </c:pt>
                <c:pt idx="140">
                  <c:v>4.4238643324810427</c:v>
                </c:pt>
                <c:pt idx="141">
                  <c:v>4.4154102229707464</c:v>
                </c:pt>
                <c:pt idx="142">
                  <c:v>4.406995788297996</c:v>
                </c:pt>
                <c:pt idx="143">
                  <c:v>4.3986207390210712</c:v>
                </c:pt>
                <c:pt idx="144">
                  <c:v>4.3902847885613507</c:v>
                </c:pt>
                <c:pt idx="145">
                  <c:v>4.3819876531675499</c:v>
                </c:pt>
                <c:pt idx="146">
                  <c:v>4.3737290518805754</c:v>
                </c:pt>
                <c:pt idx="147">
                  <c:v>4.3655087064988889</c:v>
                </c:pt>
                <c:pt idx="148">
                  <c:v>4.3573263415443853</c:v>
                </c:pt>
                <c:pt idx="149">
                  <c:v>4.3491816842287809</c:v>
                </c:pt>
                <c:pt idx="150">
                  <c:v>4.3410744644204611</c:v>
                </c:pt>
                <c:pt idx="151">
                  <c:v>4.3330044146119171</c:v>
                </c:pt>
                <c:pt idx="152">
                  <c:v>4.3249712698875795</c:v>
                </c:pt>
                <c:pt idx="153">
                  <c:v>4.3169747678921553</c:v>
                </c:pt>
                <c:pt idx="154">
                  <c:v>4.3090146487994119</c:v>
                </c:pt>
                <c:pt idx="155">
                  <c:v>4.301090655281488</c:v>
                </c:pt>
                <c:pt idx="156">
                  <c:v>4.2932025324785386</c:v>
                </c:pt>
                <c:pt idx="157">
                  <c:v>4.2853500279689438</c:v>
                </c:pt>
                <c:pt idx="158">
                  <c:v>4.277532891739888</c:v>
                </c:pt>
                <c:pt idx="159">
                  <c:v>4.2697508761583229</c:v>
                </c:pt>
                <c:pt idx="160">
                  <c:v>4.2620037359424838</c:v>
                </c:pt>
                <c:pt idx="161">
                  <c:v>4.2542912281337006</c:v>
                </c:pt>
                <c:pt idx="162">
                  <c:v>4.2466131120686388</c:v>
                </c:pt>
                <c:pt idx="163">
                  <c:v>4.2389691493519956</c:v>
                </c:pt>
                <c:pt idx="164">
                  <c:v>4.2313591038295009</c:v>
                </c:pt>
                <c:pt idx="165">
                  <c:v>4.2237827415614175</c:v>
                </c:pt>
                <c:pt idx="166">
                  <c:v>4.2162398307962876</c:v>
                </c:pt>
                <c:pt idx="167">
                  <c:v>4.2087301419451535</c:v>
                </c:pt>
                <c:pt idx="168">
                  <c:v>4.2012534475561347</c:v>
                </c:pt>
                <c:pt idx="169">
                  <c:v>4.1938095222893041</c:v>
                </c:pt>
                <c:pt idx="170">
                  <c:v>4.1863981428919699</c:v>
                </c:pt>
                <c:pt idx="171">
                  <c:v>4.1790190881743143</c:v>
                </c:pt>
                <c:pt idx="172">
                  <c:v>4.1716721389853459</c:v>
                </c:pt>
                <c:pt idx="173">
                  <c:v>4.1643570781892034</c:v>
                </c:pt>
                <c:pt idx="174">
                  <c:v>4.1570736906417665</c:v>
                </c:pt>
                <c:pt idx="175">
                  <c:v>4.1498217631676697</c:v>
                </c:pt>
                <c:pt idx="176">
                  <c:v>4.1426010845375263</c:v>
                </c:pt>
                <c:pt idx="177">
                  <c:v>4.1354114454455653</c:v>
                </c:pt>
                <c:pt idx="178">
                  <c:v>4.1282526384875302</c:v>
                </c:pt>
                <c:pt idx="179">
                  <c:v>4.1211244581388717</c:v>
                </c:pt>
                <c:pt idx="180">
                  <c:v>4.114026700733306</c:v>
                </c:pt>
              </c:numCache>
            </c:numRef>
          </c:xVal>
          <c:yVal>
            <c:numRef>
              <c:f>'Deliverance II'!$E$46:$E$352</c:f>
              <c:numCache>
                <c:formatCode>0.00</c:formatCode>
                <c:ptCount val="307"/>
                <c:pt idx="0">
                  <c:v>194.39375566674155</c:v>
                </c:pt>
                <c:pt idx="1">
                  <c:v>194.41613919125649</c:v>
                </c:pt>
                <c:pt idx="2">
                  <c:v>194.43809617078543</c:v>
                </c:pt>
                <c:pt idx="3">
                  <c:v>194.45963236711071</c:v>
                </c:pt>
                <c:pt idx="4">
                  <c:v>194.48075344596154</c:v>
                </c:pt>
                <c:pt idx="5">
                  <c:v>194.50146497896947</c:v>
                </c:pt>
                <c:pt idx="6">
                  <c:v>194.52177244557751</c:v>
                </c:pt>
                <c:pt idx="7">
                  <c:v>194.54168123490254</c:v>
                </c:pt>
                <c:pt idx="8">
                  <c:v>194.56119664755326</c:v>
                </c:pt>
                <c:pt idx="9">
                  <c:v>194.58032389740453</c:v>
                </c:pt>
                <c:pt idx="10">
                  <c:v>194.59906811333022</c:v>
                </c:pt>
                <c:pt idx="11">
                  <c:v>194.61743434089368</c:v>
                </c:pt>
                <c:pt idx="12">
                  <c:v>194.63542754399953</c:v>
                </c:pt>
                <c:pt idx="13">
                  <c:v>194.65305260650592</c:v>
                </c:pt>
                <c:pt idx="14">
                  <c:v>194.67031433379907</c:v>
                </c:pt>
                <c:pt idx="15">
                  <c:v>194.68721745433137</c:v>
                </c:pt>
                <c:pt idx="16">
                  <c:v>194.70376662112301</c:v>
                </c:pt>
                <c:pt idx="17">
                  <c:v>194.71996641322986</c:v>
                </c:pt>
                <c:pt idx="18">
                  <c:v>194.73582133717645</c:v>
                </c:pt>
                <c:pt idx="19">
                  <c:v>194.75133582835662</c:v>
                </c:pt>
                <c:pt idx="20">
                  <c:v>194.76651425240175</c:v>
                </c:pt>
                <c:pt idx="21">
                  <c:v>194.78136090651813</c:v>
                </c:pt>
                <c:pt idx="22">
                  <c:v>194.7958800207935</c:v>
                </c:pt>
                <c:pt idx="23">
                  <c:v>194.81007575947413</c:v>
                </c:pt>
                <c:pt idx="24">
                  <c:v>194.82395222221334</c:v>
                </c:pt>
                <c:pt idx="25">
                  <c:v>194.83751344529148</c:v>
                </c:pt>
                <c:pt idx="26">
                  <c:v>194.85076340280906</c:v>
                </c:pt>
                <c:pt idx="27">
                  <c:v>194.86370600785276</c:v>
                </c:pt>
                <c:pt idx="28">
                  <c:v>194.87634511363586</c:v>
                </c:pt>
                <c:pt idx="29">
                  <c:v>194.8886845146132</c:v>
                </c:pt>
                <c:pt idx="30">
                  <c:v>194.90072794757174</c:v>
                </c:pt>
                <c:pt idx="31">
                  <c:v>194.91247909269674</c:v>
                </c:pt>
                <c:pt idx="32">
                  <c:v>194.92394157461504</c:v>
                </c:pt>
                <c:pt idx="33">
                  <c:v>194.93511896341494</c:v>
                </c:pt>
                <c:pt idx="34">
                  <c:v>194.94601477564456</c:v>
                </c:pt>
                <c:pt idx="35">
                  <c:v>194.95663247528819</c:v>
                </c:pt>
                <c:pt idx="36">
                  <c:v>194.96697547472124</c:v>
                </c:pt>
                <c:pt idx="37">
                  <c:v>194.97704713564525</c:v>
                </c:pt>
                <c:pt idx="38">
                  <c:v>194.98685077000243</c:v>
                </c:pt>
                <c:pt idx="39">
                  <c:v>194.99638964087052</c:v>
                </c:pt>
                <c:pt idx="40">
                  <c:v>195.00566696333902</c:v>
                </c:pt>
                <c:pt idx="41">
                  <c:v>195.01468590536643</c:v>
                </c:pt>
                <c:pt idx="42">
                  <c:v>195.02344958861943</c:v>
                </c:pt>
                <c:pt idx="43">
                  <c:v>195.03196108929433</c:v>
                </c:pt>
                <c:pt idx="44">
                  <c:v>195.04022343892149</c:v>
                </c:pt>
                <c:pt idx="45">
                  <c:v>195.04823962515255</c:v>
                </c:pt>
                <c:pt idx="46">
                  <c:v>195.0560125925312</c:v>
                </c:pt>
                <c:pt idx="47">
                  <c:v>195.06354524324851</c:v>
                </c:pt>
                <c:pt idx="48">
                  <c:v>195.0708404378816</c:v>
                </c:pt>
                <c:pt idx="49">
                  <c:v>195.07790099611802</c:v>
                </c:pt>
                <c:pt idx="50">
                  <c:v>195.08472969746455</c:v>
                </c:pt>
                <c:pt idx="51">
                  <c:v>195.09132928194154</c:v>
                </c:pt>
                <c:pt idx="52">
                  <c:v>195.09770245076351</c:v>
                </c:pt>
                <c:pt idx="53">
                  <c:v>195.1038518670052</c:v>
                </c:pt>
                <c:pt idx="54">
                  <c:v>195.10978015625446</c:v>
                </c:pt>
                <c:pt idx="55">
                  <c:v>195.11548990725194</c:v>
                </c:pt>
                <c:pt idx="56">
                  <c:v>195.12098367251747</c:v>
                </c:pt>
                <c:pt idx="57">
                  <c:v>195.12626396896459</c:v>
                </c:pt>
                <c:pt idx="58">
                  <c:v>195.13133327850161</c:v>
                </c:pt>
                <c:pt idx="59">
                  <c:v>195.13619404862192</c:v>
                </c:pt>
                <c:pt idx="60">
                  <c:v>195.14084869298148</c:v>
                </c:pt>
                <c:pt idx="61">
                  <c:v>195.14529959196545</c:v>
                </c:pt>
                <c:pt idx="62">
                  <c:v>195.14954909324328</c:v>
                </c:pt>
                <c:pt idx="63">
                  <c:v>195.15359951231315</c:v>
                </c:pt>
                <c:pt idx="64">
                  <c:v>195.15745313303518</c:v>
                </c:pt>
                <c:pt idx="65">
                  <c:v>195.16111220815489</c:v>
                </c:pt>
                <c:pt idx="66">
                  <c:v>195.16457895981563</c:v>
                </c:pt>
                <c:pt idx="67">
                  <c:v>195.16785558006154</c:v>
                </c:pt>
                <c:pt idx="68">
                  <c:v>195.17094423133085</c:v>
                </c:pt>
                <c:pt idx="69">
                  <c:v>195.17384704693896</c:v>
                </c:pt>
                <c:pt idx="70">
                  <c:v>195.17656613155287</c:v>
                </c:pt>
                <c:pt idx="71">
                  <c:v>195.17910356165601</c:v>
                </c:pt>
                <c:pt idx="72">
                  <c:v>195.18146138600457</c:v>
                </c:pt>
                <c:pt idx="73">
                  <c:v>195.18364162607469</c:v>
                </c:pt>
                <c:pt idx="74">
                  <c:v>195.18564627650119</c:v>
                </c:pt>
                <c:pt idx="75">
                  <c:v>195.18747730550839</c:v>
                </c:pt>
                <c:pt idx="76">
                  <c:v>195.18913665533202</c:v>
                </c:pt>
                <c:pt idx="77">
                  <c:v>195.1906262426337</c:v>
                </c:pt>
                <c:pt idx="78">
                  <c:v>195.19194795890772</c:v>
                </c:pt>
                <c:pt idx="79">
                  <c:v>195.1931036708794</c:v>
                </c:pt>
                <c:pt idx="80">
                  <c:v>195.19409522089697</c:v>
                </c:pt>
                <c:pt idx="81">
                  <c:v>195.19492442731536</c:v>
                </c:pt>
                <c:pt idx="82">
                  <c:v>195.19559308487331</c:v>
                </c:pt>
                <c:pt idx="83">
                  <c:v>195.19610296506309</c:v>
                </c:pt>
                <c:pt idx="84">
                  <c:v>195.19645581649394</c:v>
                </c:pt>
                <c:pt idx="85">
                  <c:v>195.19665336524812</c:v>
                </c:pt>
                <c:pt idx="86">
                  <c:v>195.19669731523078</c:v>
                </c:pt>
                <c:pt idx="87">
                  <c:v>195.1965893485137</c:v>
                </c:pt>
                <c:pt idx="88">
                  <c:v>195.19633112567189</c:v>
                </c:pt>
                <c:pt idx="89">
                  <c:v>195.19592428611506</c:v>
                </c:pt>
                <c:pt idx="90">
                  <c:v>195.19537044841221</c:v>
                </c:pt>
                <c:pt idx="91">
                  <c:v>195.19467121061089</c:v>
                </c:pt>
                <c:pt idx="92">
                  <c:v>195.19382815055036</c:v>
                </c:pt>
                <c:pt idx="93">
                  <c:v>195.19284282616943</c:v>
                </c:pt>
                <c:pt idx="94">
                  <c:v>195.19171677580829</c:v>
                </c:pt>
                <c:pt idx="95">
                  <c:v>195.19045151850537</c:v>
                </c:pt>
                <c:pt idx="96">
                  <c:v>195.18904855428883</c:v>
                </c:pt>
                <c:pt idx="97">
                  <c:v>195.1875093644625</c:v>
                </c:pt>
                <c:pt idx="98">
                  <c:v>195.18583541188713</c:v>
                </c:pt>
                <c:pt idx="99">
                  <c:v>195.18402814125656</c:v>
                </c:pt>
                <c:pt idx="100">
                  <c:v>195.18208897936884</c:v>
                </c:pt>
                <c:pt idx="101">
                  <c:v>195.18001933539273</c:v>
                </c:pt>
                <c:pt idx="102">
                  <c:v>195.1778206011295</c:v>
                </c:pt>
                <c:pt idx="103">
                  <c:v>195.17549415127021</c:v>
                </c:pt>
                <c:pt idx="104">
                  <c:v>195.17304134364824</c:v>
                </c:pt>
                <c:pt idx="105">
                  <c:v>195.17046351948756</c:v>
                </c:pt>
                <c:pt idx="106">
                  <c:v>195.16776200364706</c:v>
                </c:pt>
                <c:pt idx="107">
                  <c:v>195.16493810485963</c:v>
                </c:pt>
                <c:pt idx="108">
                  <c:v>195.16199311596853</c:v>
                </c:pt>
                <c:pt idx="109">
                  <c:v>195.1589283141584</c:v>
                </c:pt>
                <c:pt idx="110">
                  <c:v>195.15574496118302</c:v>
                </c:pt>
                <c:pt idx="111">
                  <c:v>195.15244430358888</c:v>
                </c:pt>
                <c:pt idx="112">
                  <c:v>195.14902757293507</c:v>
                </c:pt>
                <c:pt idx="113">
                  <c:v>195.14549598600942</c:v>
                </c:pt>
                <c:pt idx="114">
                  <c:v>195.14185074504084</c:v>
                </c:pt>
                <c:pt idx="115">
                  <c:v>195.13809303790808</c:v>
                </c:pt>
                <c:pt idx="116">
                  <c:v>195.1342240383452</c:v>
                </c:pt>
                <c:pt idx="117">
                  <c:v>195.13024490614305</c:v>
                </c:pt>
                <c:pt idx="118">
                  <c:v>195.12615678734812</c:v>
                </c:pt>
                <c:pt idx="119">
                  <c:v>195.12196081445731</c:v>
                </c:pt>
                <c:pt idx="120">
                  <c:v>195.11765810660981</c:v>
                </c:pt>
                <c:pt idx="121">
                  <c:v>195.11324976977585</c:v>
                </c:pt>
                <c:pt idx="122">
                  <c:v>195.10873689694205</c:v>
                </c:pt>
                <c:pt idx="123">
                  <c:v>195.10412056829401</c:v>
                </c:pt>
                <c:pt idx="124">
                  <c:v>195.09940185139533</c:v>
                </c:pt>
                <c:pt idx="125">
                  <c:v>195.09458180136463</c:v>
                </c:pt>
                <c:pt idx="126">
                  <c:v>195.08966146104834</c:v>
                </c:pt>
                <c:pt idx="127">
                  <c:v>195.08464186119195</c:v>
                </c:pt>
                <c:pt idx="128">
                  <c:v>195.07952402060769</c:v>
                </c:pt>
                <c:pt idx="129">
                  <c:v>195.07430894633956</c:v>
                </c:pt>
                <c:pt idx="130">
                  <c:v>195.06899763382606</c:v>
                </c:pt>
                <c:pt idx="131">
                  <c:v>195.06359106705929</c:v>
                </c:pt>
                <c:pt idx="132">
                  <c:v>195.05809021874325</c:v>
                </c:pt>
                <c:pt idx="133">
                  <c:v>195.05249605044744</c:v>
                </c:pt>
                <c:pt idx="134">
                  <c:v>195.04680951275972</c:v>
                </c:pt>
                <c:pt idx="135">
                  <c:v>195.04103154543571</c:v>
                </c:pt>
                <c:pt idx="136">
                  <c:v>195.03516307754623</c:v>
                </c:pt>
                <c:pt idx="137">
                  <c:v>195.02920502762203</c:v>
                </c:pt>
                <c:pt idx="138">
                  <c:v>195.02315830379681</c:v>
                </c:pt>
                <c:pt idx="139">
                  <c:v>195.01702380394744</c:v>
                </c:pt>
                <c:pt idx="140">
                  <c:v>195.01080241583173</c:v>
                </c:pt>
                <c:pt idx="141">
                  <c:v>195.004495017225</c:v>
                </c:pt>
                <c:pt idx="142">
                  <c:v>194.99810247605348</c:v>
                </c:pt>
                <c:pt idx="143">
                  <c:v>194.99162565052592</c:v>
                </c:pt>
                <c:pt idx="144">
                  <c:v>194.98506538926367</c:v>
                </c:pt>
                <c:pt idx="145">
                  <c:v>194.97842253142778</c:v>
                </c:pt>
                <c:pt idx="146">
                  <c:v>194.97169790684484</c:v>
                </c:pt>
                <c:pt idx="147">
                  <c:v>194.96489233613045</c:v>
                </c:pt>
                <c:pt idx="148">
                  <c:v>194.95800663081113</c:v>
                </c:pt>
                <c:pt idx="149">
                  <c:v>194.95104159344393</c:v>
                </c:pt>
                <c:pt idx="150">
                  <c:v>194.94399801773443</c:v>
                </c:pt>
                <c:pt idx="151">
                  <c:v>194.93687668865292</c:v>
                </c:pt>
                <c:pt idx="152">
                  <c:v>194.9296783825487</c:v>
                </c:pt>
                <c:pt idx="153">
                  <c:v>194.92240386726272</c:v>
                </c:pt>
                <c:pt idx="154">
                  <c:v>194.91505390223813</c:v>
                </c:pt>
                <c:pt idx="155">
                  <c:v>194.90762923863002</c:v>
                </c:pt>
                <c:pt idx="156">
                  <c:v>194.90013061941227</c:v>
                </c:pt>
                <c:pt idx="157">
                  <c:v>194.89255877948366</c:v>
                </c:pt>
                <c:pt idx="158">
                  <c:v>194.88491444577224</c:v>
                </c:pt>
                <c:pt idx="159">
                  <c:v>194.8771983373378</c:v>
                </c:pt>
                <c:pt idx="160">
                  <c:v>194.86941116547297</c:v>
                </c:pt>
                <c:pt idx="161">
                  <c:v>194.86155363380288</c:v>
                </c:pt>
                <c:pt idx="162">
                  <c:v>194.85362643838323</c:v>
                </c:pt>
                <c:pt idx="163">
                  <c:v>194.84563026779668</c:v>
                </c:pt>
                <c:pt idx="164">
                  <c:v>194.83756580324834</c:v>
                </c:pt>
                <c:pt idx="165">
                  <c:v>194.82943371865935</c:v>
                </c:pt>
                <c:pt idx="166">
                  <c:v>194.82123468075903</c:v>
                </c:pt>
                <c:pt idx="167">
                  <c:v>194.81296934917606</c:v>
                </c:pt>
                <c:pt idx="168">
                  <c:v>194.80463837652795</c:v>
                </c:pt>
                <c:pt idx="169">
                  <c:v>194.79624240850967</c:v>
                </c:pt>
                <c:pt idx="170">
                  <c:v>194.78778208397989</c:v>
                </c:pt>
                <c:pt idx="171">
                  <c:v>194.77925803504738</c:v>
                </c:pt>
                <c:pt idx="172">
                  <c:v>194.77067088715518</c:v>
                </c:pt>
                <c:pt idx="173">
                  <c:v>194.76202125916359</c:v>
                </c:pt>
                <c:pt idx="174">
                  <c:v>194.7533097634325</c:v>
                </c:pt>
                <c:pt idx="175">
                  <c:v>194.74453700590186</c:v>
                </c:pt>
                <c:pt idx="176">
                  <c:v>194.73570358617155</c:v>
                </c:pt>
                <c:pt idx="177">
                  <c:v>194.72681009757949</c:v>
                </c:pt>
                <c:pt idx="178">
                  <c:v>194.71785712727913</c:v>
                </c:pt>
                <c:pt idx="179">
                  <c:v>194.70884525631573</c:v>
                </c:pt>
                <c:pt idx="180">
                  <c:v>194.69977505970124</c:v>
                </c:pt>
              </c:numCache>
            </c:numRef>
          </c:yVal>
          <c:smooth val="1"/>
          <c:extLst>
            <c:ext xmlns:c16="http://schemas.microsoft.com/office/drawing/2014/chart" uri="{C3380CC4-5D6E-409C-BE32-E72D297353CC}">
              <c16:uniqueId val="{00000000-CA23-4A81-9FBD-7E4592D2BCCA}"/>
            </c:ext>
          </c:extLst>
        </c:ser>
        <c:dLbls>
          <c:showLegendKey val="0"/>
          <c:showVal val="0"/>
          <c:showCatName val="0"/>
          <c:showSerName val="0"/>
          <c:showPercent val="0"/>
          <c:showBubbleSize val="0"/>
        </c:dLbls>
        <c:axId val="255309344"/>
        <c:axId val="255312704"/>
      </c:scatterChart>
      <c:valAx>
        <c:axId val="255310464"/>
        <c:scaling>
          <c:orientation val="minMax"/>
          <c:min val="3.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Nozzle Expansion Area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13264"/>
        <c:crosses val="autoZero"/>
        <c:crossBetween val="midCat"/>
      </c:valAx>
      <c:valAx>
        <c:axId val="255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Average Specific Impulse (s)</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10464"/>
        <c:crosses val="autoZero"/>
        <c:crossBetween val="midCat"/>
      </c:valAx>
      <c:valAx>
        <c:axId val="255312704"/>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09344"/>
        <c:crosses val="max"/>
        <c:crossBetween val="midCat"/>
      </c:valAx>
      <c:valAx>
        <c:axId val="255309344"/>
        <c:scaling>
          <c:orientation val="minMax"/>
        </c:scaling>
        <c:delete val="1"/>
        <c:axPos val="b"/>
        <c:numFmt formatCode="0.00" sourceLinked="1"/>
        <c:majorTickMark val="out"/>
        <c:minorTickMark val="none"/>
        <c:tickLblPos val="nextTo"/>
        <c:crossAx val="255312704"/>
        <c:crosses val="autoZero"/>
        <c:crossBetween val="midCat"/>
      </c:valAx>
      <c:spPr>
        <a:noFill/>
        <a:ln>
          <a:noFill/>
        </a:ln>
        <a:effectLst/>
      </c:spPr>
    </c:plotArea>
    <c:legend>
      <c:legendPos val="r"/>
      <c:layout>
        <c:manualLayout>
          <c:xMode val="edge"/>
          <c:yMode val="edge"/>
          <c:x val="0.60976758126798725"/>
          <c:y val="0.12010509770061488"/>
          <c:w val="0.28093828904821"/>
          <c:h val="0.12703747568188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Effect</a:t>
            </a:r>
            <a:r>
              <a:rPr lang="en-CA" baseline="0"/>
              <a:t> of Nozzle Geometry on Performance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41659222011734"/>
          <c:y val="0.24175248456746676"/>
          <c:w val="0.6345034995625547"/>
          <c:h val="0.55429479168069251"/>
        </c:manualLayout>
      </c:layout>
      <c:scatterChart>
        <c:scatterStyle val="smoothMarker"/>
        <c:varyColors val="0"/>
        <c:ser>
          <c:idx val="1"/>
          <c:order val="1"/>
          <c:spPr>
            <a:ln w="19050" cap="rnd">
              <a:solidFill>
                <a:schemeClr val="accent2"/>
              </a:solidFill>
              <a:round/>
            </a:ln>
            <a:effectLst/>
          </c:spPr>
          <c:marker>
            <c:symbol val="none"/>
          </c:marker>
          <c:xVal>
            <c:numRef>
              <c:f>Recordbreaker!$D$48:$D$253</c:f>
              <c:numCache>
                <c:formatCode>0.00</c:formatCode>
                <c:ptCount val="206"/>
                <c:pt idx="0">
                  <c:v>7.337628235387637</c:v>
                </c:pt>
                <c:pt idx="1">
                  <c:v>7.3129922925138029</c:v>
                </c:pt>
                <c:pt idx="2">
                  <c:v>7.2885562549215308</c:v>
                </c:pt>
                <c:pt idx="3">
                  <c:v>7.2643175911567122</c:v>
                </c:pt>
                <c:pt idx="4">
                  <c:v>7.2402738132229656</c:v>
                </c:pt>
                <c:pt idx="5">
                  <c:v>7.2164224756418651</c:v>
                </c:pt>
                <c:pt idx="6">
                  <c:v>7.1927611745376172</c:v>
                </c:pt>
                <c:pt idx="7">
                  <c:v>7.1692875467454655</c:v>
                </c:pt>
                <c:pt idx="8">
                  <c:v>7.1459992689430569</c:v>
                </c:pt>
                <c:pt idx="9">
                  <c:v>7.122894056804201</c:v>
                </c:pt>
                <c:pt idx="10">
                  <c:v>7.0999696641742736</c:v>
                </c:pt>
                <c:pt idx="11">
                  <c:v>7.0772238822664928</c:v>
                </c:pt>
                <c:pt idx="12">
                  <c:v>7.0546545388787782</c:v>
                </c:pt>
                <c:pt idx="13">
                  <c:v>7.0322594976302133</c:v>
                </c:pt>
                <c:pt idx="14">
                  <c:v>7.0100366572167561</c:v>
                </c:pt>
                <c:pt idx="15">
                  <c:v>6.9879839506856136</c:v>
                </c:pt>
                <c:pt idx="16">
                  <c:v>6.9660993447276534</c:v>
                </c:pt>
                <c:pt idx="17">
                  <c:v>6.9443808389873256</c:v>
                </c:pt>
                <c:pt idx="18">
                  <c:v>6.92282646538977</c:v>
                </c:pt>
                <c:pt idx="19">
                  <c:v>6.901434287484344</c:v>
                </c:pt>
                <c:pt idx="20">
                  <c:v>6.8802023998042889</c:v>
                </c:pt>
                <c:pt idx="21">
                  <c:v>6.8591289272419935</c:v>
                </c:pt>
                <c:pt idx="22">
                  <c:v>6.8382120244394518</c:v>
                </c:pt>
                <c:pt idx="23">
                  <c:v>6.8174498751934625</c:v>
                </c:pt>
                <c:pt idx="24">
                  <c:v>6.7968406918751452</c:v>
                </c:pt>
                <c:pt idx="25">
                  <c:v>6.7763827148633382</c:v>
                </c:pt>
                <c:pt idx="26">
                  <c:v>6.7560742119916508</c:v>
                </c:pt>
                <c:pt idx="27">
                  <c:v>6.7359134780085173</c:v>
                </c:pt>
                <c:pt idx="28">
                  <c:v>6.7158988340501651</c:v>
                </c:pt>
                <c:pt idx="29">
                  <c:v>6.6960286271259246</c:v>
                </c:pt>
                <c:pt idx="30">
                  <c:v>6.6763012296157127</c:v>
                </c:pt>
                <c:pt idx="31">
                  <c:v>6.6567150387792315</c:v>
                </c:pt>
                <c:pt idx="32">
                  <c:v>6.6372684762766045</c:v>
                </c:pt>
                <c:pt idx="33">
                  <c:v>6.6179599877001678</c:v>
                </c:pt>
                <c:pt idx="34">
                  <c:v>6.5987880421170146</c:v>
                </c:pt>
                <c:pt idx="35">
                  <c:v>6.5797511316222081</c:v>
                </c:pt>
                <c:pt idx="36">
                  <c:v>6.5608477709021233</c:v>
                </c:pt>
                <c:pt idx="37">
                  <c:v>6.542076496807784</c:v>
                </c:pt>
                <c:pt idx="38">
                  <c:v>6.5234358679379669</c:v>
                </c:pt>
                <c:pt idx="39">
                  <c:v>6.5049244642316859</c:v>
                </c:pt>
                <c:pt idx="40">
                  <c:v>6.4865408865699345</c:v>
                </c:pt>
                <c:pt idx="41">
                  <c:v>6.468283756386322</c:v>
                </c:pt>
                <c:pt idx="42">
                  <c:v>6.4501517152865313</c:v>
                </c:pt>
                <c:pt idx="43">
                  <c:v>6.4321434246761271</c:v>
                </c:pt>
                <c:pt idx="44">
                  <c:v>6.4142575653967917</c:v>
                </c:pt>
                <c:pt idx="45">
                  <c:v>6.396492837370495</c:v>
                </c:pt>
                <c:pt idx="46">
                  <c:v>6.378847959251571</c:v>
                </c:pt>
                <c:pt idx="47">
                  <c:v>6.3613216680864335</c:v>
                </c:pt>
                <c:pt idx="48">
                  <c:v>6.3439127189807412</c:v>
                </c:pt>
                <c:pt idx="49">
                  <c:v>6.3266198847738231</c:v>
                </c:pt>
                <c:pt idx="50">
                  <c:v>6.3094419557201453</c:v>
                </c:pt>
                <c:pt idx="51">
                  <c:v>6.2923777391777422</c:v>
                </c:pt>
                <c:pt idx="52">
                  <c:v>6.2754260593032827</c:v>
                </c:pt>
                <c:pt idx="53">
                  <c:v>6.2585857567537682</c:v>
                </c:pt>
                <c:pt idx="54">
                  <c:v>6.2418556883945522</c:v>
                </c:pt>
                <c:pt idx="55">
                  <c:v>6.2252347270136177</c:v>
                </c:pt>
                <c:pt idx="56">
                  <c:v>6.2087217610419341</c:v>
                </c:pt>
                <c:pt idx="57">
                  <c:v>6.1923156942797135</c:v>
                </c:pt>
                <c:pt idx="58">
                  <c:v>6.17601544562842</c:v>
                </c:pt>
                <c:pt idx="59">
                  <c:v>6.1598199488284751</c:v>
                </c:pt>
                <c:pt idx="60">
                  <c:v>6.1437281522024181</c:v>
                </c:pt>
                <c:pt idx="61">
                  <c:v>6.1277390184033882</c:v>
                </c:pt>
                <c:pt idx="62">
                  <c:v>6.1118515241689133</c:v>
                </c:pt>
                <c:pt idx="63">
                  <c:v>6.0960646600797332</c:v>
                </c:pt>
                <c:pt idx="64">
                  <c:v>6.0803774303236402</c:v>
                </c:pt>
                <c:pt idx="65">
                  <c:v>6.0647888524641482</c:v>
                </c:pt>
                <c:pt idx="66">
                  <c:v>6.0492979572139145</c:v>
                </c:pt>
                <c:pt idx="67">
                  <c:v>6.0339037882128093</c:v>
                </c:pt>
                <c:pt idx="68">
                  <c:v>6.0186054018104675</c:v>
                </c:pt>
                <c:pt idx="69">
                  <c:v>6.0034018668532338</c:v>
                </c:pt>
                <c:pt idx="70">
                  <c:v>5.9882922644755272</c:v>
                </c:pt>
                <c:pt idx="71">
                  <c:v>5.973275687895212</c:v>
                </c:pt>
                <c:pt idx="72">
                  <c:v>5.9583512422132703</c:v>
                </c:pt>
                <c:pt idx="73">
                  <c:v>5.9435180442173525</c:v>
                </c:pt>
                <c:pt idx="74">
                  <c:v>5.9287752221893051</c:v>
                </c:pt>
                <c:pt idx="75">
                  <c:v>5.9141219157164597</c:v>
                </c:pt>
                <c:pt idx="76">
                  <c:v>5.8995572755067629</c:v>
                </c:pt>
                <c:pt idx="77" formatCode="0.000">
                  <c:v>5.8925974958827299</c:v>
                </c:pt>
                <c:pt idx="78">
                  <c:v>5.8850804632074034</c:v>
                </c:pt>
                <c:pt idx="79">
                  <c:v>5.8706906512271608</c:v>
                </c:pt>
                <c:pt idx="80">
                  <c:v>5.8563870225621129</c:v>
                </c:pt>
                <c:pt idx="81">
                  <c:v>5.84216877062482</c:v>
                </c:pt>
                <c:pt idx="82">
                  <c:v>5.8280350990767831</c:v>
                </c:pt>
                <c:pt idx="83">
                  <c:v>5.8139852216641765</c:v>
                </c:pt>
                <c:pt idx="84">
                  <c:v>5.8000183620567691</c:v>
                </c:pt>
                <c:pt idx="85">
                  <c:v>5.7861337536899011</c:v>
                </c:pt>
                <c:pt idx="86">
                  <c:v>5.7723306396095539</c:v>
                </c:pt>
                <c:pt idx="87">
                  <c:v>5.7586082723203313</c:v>
                </c:pt>
                <c:pt idx="88">
                  <c:v>5.7449659136363636</c:v>
                </c:pt>
                <c:pt idx="89">
                  <c:v>5.7314028345350589</c:v>
                </c:pt>
                <c:pt idx="90">
                  <c:v>5.7179183150136019</c:v>
                </c:pt>
                <c:pt idx="91">
                  <c:v>5.704511643948166</c:v>
                </c:pt>
                <c:pt idx="92">
                  <c:v>5.6911821189557807</c:v>
                </c:pt>
                <c:pt idx="93">
                  <c:v>5.677929046258793</c:v>
                </c:pt>
                <c:pt idx="94">
                  <c:v>5.6647517405518872</c:v>
                </c:pt>
                <c:pt idx="95">
                  <c:v>5.6516495248714831</c:v>
                </c:pt>
                <c:pt idx="96">
                  <c:v>5.6386217304677144</c:v>
                </c:pt>
                <c:pt idx="97">
                  <c:v>5.625667696678649</c:v>
                </c:pt>
                <c:pt idx="98">
                  <c:v>5.612786770806899</c:v>
                </c:pt>
                <c:pt idx="99">
                  <c:v>5.5999783079984562</c:v>
                </c:pt>
                <c:pt idx="100">
                  <c:v>5.5872416711238273</c:v>
                </c:pt>
                <c:pt idx="101">
                  <c:v>5.5745762306612292</c:v>
                </c:pt>
                <c:pt idx="102">
                  <c:v>5.5619813645820155</c:v>
                </c:pt>
                <c:pt idx="103">
                  <c:v>5.5494564582381187</c:v>
                </c:pt>
                <c:pt idx="104">
                  <c:v>5.53700090425159</c:v>
                </c:pt>
                <c:pt idx="105">
                  <c:v>5.524614102406062</c:v>
                </c:pt>
                <c:pt idx="106">
                  <c:v>5.5122954595402049</c:v>
                </c:pt>
                <c:pt idx="107">
                  <c:v>5.5000443894431443</c:v>
                </c:pt>
                <c:pt idx="108">
                  <c:v>5.4878603127516294</c:v>
                </c:pt>
                <c:pt idx="109">
                  <c:v>5.4757426568491256</c:v>
                </c:pt>
                <c:pt idx="110">
                  <c:v>5.4636908557667203</c:v>
                </c:pt>
                <c:pt idx="111">
                  <c:v>5.4517043500856808</c:v>
                </c:pt>
                <c:pt idx="112">
                  <c:v>5.4397825868418153</c:v>
                </c:pt>
                <c:pt idx="113">
                  <c:v>5.42792501943154</c:v>
                </c:pt>
                <c:pt idx="114">
                  <c:v>5.4161311075194938</c:v>
                </c:pt>
                <c:pt idx="115">
                  <c:v>5.4044003169478643</c:v>
                </c:pt>
                <c:pt idx="116">
                  <c:v>5.3927321196472651</c:v>
                </c:pt>
                <c:pt idx="117">
                  <c:v>5.3811259935491442</c:v>
                </c:pt>
                <c:pt idx="118">
                  <c:v>5.3695814224997687</c:v>
                </c:pt>
                <c:pt idx="119">
                  <c:v>5.3580978961755976</c:v>
                </c:pt>
                <c:pt idx="120">
                  <c:v>5.3466749100002389</c:v>
                </c:pt>
                <c:pt idx="121">
                  <c:v>5.3353119650627363</c:v>
                </c:pt>
                <c:pt idx="122">
                  <c:v>5.324008568037284</c:v>
                </c:pt>
                <c:pt idx="123">
                  <c:v>5.3127642311043468</c:v>
                </c:pt>
                <c:pt idx="124">
                  <c:v>5.3015784718730972</c:v>
                </c:pt>
                <c:pt idx="125">
                  <c:v>5.290450813305136</c:v>
                </c:pt>
                <c:pt idx="126">
                  <c:v>5.2793807836396018</c:v>
                </c:pt>
                <c:pt idx="127">
                  <c:v>5.2683679163194244</c:v>
                </c:pt>
                <c:pt idx="128">
                  <c:v>5.2574117499189192</c:v>
                </c:pt>
                <c:pt idx="129">
                  <c:v>5.2465118280725438</c:v>
                </c:pt>
                <c:pt idx="130">
                  <c:v>5.2356676994048774</c:v>
                </c:pt>
                <c:pt idx="131">
                  <c:v>5.2248789174617327</c:v>
                </c:pt>
                <c:pt idx="132">
                  <c:v>5.2141450406424621</c:v>
                </c:pt>
                <c:pt idx="133">
                  <c:v>5.2034656321333346</c:v>
                </c:pt>
                <c:pt idx="134">
                  <c:v>5.1928402598420753</c:v>
                </c:pt>
                <c:pt idx="135">
                  <c:v>5.1822684963334273</c:v>
                </c:pt>
                <c:pt idx="136">
                  <c:v>5.1717499187658165</c:v>
                </c:pt>
                <c:pt idx="137">
                  <c:v>5.1612841088290144</c:v>
                </c:pt>
                <c:pt idx="138">
                  <c:v>5.1508706526828973</c:v>
                </c:pt>
                <c:pt idx="139">
                  <c:v>5.1405091408970893</c:v>
                </c:pt>
                <c:pt idx="140">
                  <c:v>5.1301991683917141</c:v>
                </c:pt>
                <c:pt idx="141">
                  <c:v>5.119940334378998</c:v>
                </c:pt>
                <c:pt idx="142">
                  <c:v>5.1097322423058786</c:v>
                </c:pt>
                <c:pt idx="143">
                  <c:v>5.0995744997975487</c:v>
                </c:pt>
                <c:pt idx="144">
                  <c:v>5.0894667186018632</c:v>
                </c:pt>
                <c:pt idx="145">
                  <c:v>5.0794085145346726</c:v>
                </c:pt>
                <c:pt idx="146">
                  <c:v>5.0693995074260103</c:v>
                </c:pt>
                <c:pt idx="147">
                  <c:v>5.059439321067166</c:v>
                </c:pt>
                <c:pt idx="148">
                  <c:v>5.0495275831585538</c:v>
                </c:pt>
                <c:pt idx="149">
                  <c:v>5.0396639252584787</c:v>
                </c:pt>
                <c:pt idx="150">
                  <c:v>5.0298479827326377</c:v>
                </c:pt>
                <c:pt idx="151">
                  <c:v>5.0200793947044726</c:v>
                </c:pt>
                <c:pt idx="152">
                  <c:v>5.0103578040062837</c:v>
                </c:pt>
                <c:pt idx="153">
                  <c:v>5.0006828571310837</c:v>
                </c:pt>
                <c:pt idx="154">
                  <c:v>4.9910542041852892</c:v>
                </c:pt>
                <c:pt idx="155">
                  <c:v>4.9814714988420503</c:v>
                </c:pt>
                <c:pt idx="156">
                  <c:v>4.9719343982953408</c:v>
                </c:pt>
                <c:pt idx="157">
                  <c:v>4.9624425632148359</c:v>
                </c:pt>
                <c:pt idx="158">
                  <c:v>4.9529956577013587</c:v>
                </c:pt>
                <c:pt idx="159">
                  <c:v>4.9435933492431126</c:v>
                </c:pt>
                <c:pt idx="160">
                  <c:v>4.9342353086725508</c:v>
                </c:pt>
                <c:pt idx="161">
                  <c:v>4.9249212101239106</c:v>
                </c:pt>
                <c:pt idx="162">
                  <c:v>4.9156507309914099</c:v>
                </c:pt>
                <c:pt idx="163">
                  <c:v>4.9064235518880635</c:v>
                </c:pt>
                <c:pt idx="164">
                  <c:v>4.8972393566051435</c:v>
                </c:pt>
                <c:pt idx="165">
                  <c:v>4.8880978320722503</c:v>
                </c:pt>
                <c:pt idx="166">
                  <c:v>4.8789986683179851</c:v>
                </c:pt>
                <c:pt idx="167">
                  <c:v>4.8699415584312238</c:v>
                </c:pt>
                <c:pt idx="168">
                  <c:v>4.8609261985229697</c:v>
                </c:pt>
                <c:pt idx="169">
                  <c:v>4.8519522876887935</c:v>
                </c:pt>
                <c:pt idx="170">
                  <c:v>4.8430195279718076</c:v>
                </c:pt>
                <c:pt idx="171">
                  <c:v>4.8341276243262081</c:v>
                </c:pt>
                <c:pt idx="172">
                  <c:v>4.8252762845813955</c:v>
                </c:pt>
                <c:pt idx="173">
                  <c:v>4.8164652194065702</c:v>
                </c:pt>
                <c:pt idx="174">
                  <c:v>4.8076941422759027</c:v>
                </c:pt>
                <c:pt idx="175">
                  <c:v>4.798962769434171</c:v>
                </c:pt>
                <c:pt idx="176">
                  <c:v>4.7902708198629602</c:v>
                </c:pt>
                <c:pt idx="177">
                  <c:v>4.7816180152473482</c:v>
                </c:pt>
                <c:pt idx="178">
                  <c:v>4.7730040799430045</c:v>
                </c:pt>
                <c:pt idx="179">
                  <c:v>4.7644287409439059</c:v>
                </c:pt>
                <c:pt idx="180">
                  <c:v>4.7558917278504058</c:v>
                </c:pt>
                <c:pt idx="181">
                  <c:v>4.7473927728378262</c:v>
                </c:pt>
                <c:pt idx="182">
                  <c:v>4.7389316106255155</c:v>
                </c:pt>
                <c:pt idx="183">
                  <c:v>4.7305079784463011</c:v>
                </c:pt>
                <c:pt idx="184">
                  <c:v>4.7221216160164365</c:v>
                </c:pt>
                <c:pt idx="185">
                  <c:v>4.7137722655059795</c:v>
                </c:pt>
                <c:pt idx="186">
                  <c:v>4.7054596715095522</c:v>
                </c:pt>
                <c:pt idx="187">
                  <c:v>4.6971835810175726</c:v>
                </c:pt>
                <c:pt idx="188">
                  <c:v>4.688943743387874</c:v>
                </c:pt>
                <c:pt idx="189">
                  <c:v>4.6807399103177172</c:v>
                </c:pt>
                <c:pt idx="190">
                  <c:v>4.6725718358162371</c:v>
                </c:pt>
                <c:pt idx="191">
                  <c:v>4.664439276177248</c:v>
                </c:pt>
                <c:pt idx="192">
                  <c:v>4.6563419899524634</c:v>
                </c:pt>
                <c:pt idx="193">
                  <c:v>4.6482797379250638</c:v>
                </c:pt>
                <c:pt idx="194">
                  <c:v>4.6402522830836626</c:v>
                </c:pt>
                <c:pt idx="195">
                  <c:v>4.6322593905966158</c:v>
                </c:pt>
                <c:pt idx="196">
                  <c:v>4.6243008277867466</c:v>
                </c:pt>
                <c:pt idx="197">
                  <c:v>4.6163763641063369</c:v>
                </c:pt>
                <c:pt idx="198">
                  <c:v>4.6084857711125409</c:v>
                </c:pt>
                <c:pt idx="199">
                  <c:v>4.6006288224431149</c:v>
                </c:pt>
                <c:pt idx="200">
                  <c:v>4.5928052937924821</c:v>
                </c:pt>
                <c:pt idx="201">
                  <c:v>4.5850149628881383</c:v>
                </c:pt>
                <c:pt idx="202">
                  <c:v>4.5772576094673783</c:v>
                </c:pt>
                <c:pt idx="203">
                  <c:v>4.5695330152543558</c:v>
                </c:pt>
                <c:pt idx="204">
                  <c:v>4.5618409639374367</c:v>
                </c:pt>
                <c:pt idx="205">
                  <c:v>4.5541812411468721</c:v>
                </c:pt>
              </c:numCache>
            </c:numRef>
          </c:xVal>
          <c:yVal>
            <c:numRef>
              <c:f>Recordbreaker!$C$48:$C$253</c:f>
              <c:numCache>
                <c:formatCode>0.00</c:formatCode>
                <c:ptCount val="206"/>
                <c:pt idx="0">
                  <c:v>3.1434203207380591</c:v>
                </c:pt>
                <c:pt idx="1">
                  <c:v>3.1408518676560147</c:v>
                </c:pt>
                <c:pt idx="2">
                  <c:v>3.1382953742287221</c:v>
                </c:pt>
                <c:pt idx="3">
                  <c:v>3.1357507287259874</c:v>
                </c:pt>
                <c:pt idx="4">
                  <c:v>3.1332178209689472</c:v>
                </c:pt>
                <c:pt idx="5">
                  <c:v>3.1306965423015689</c:v>
                </c:pt>
                <c:pt idx="6">
                  <c:v>3.1281867855627965</c:v>
                </c:pt>
                <c:pt idx="7">
                  <c:v>3.125688445059331</c:v>
                </c:pt>
                <c:pt idx="8">
                  <c:v>3.1232014165390192</c:v>
                </c:pt>
                <c:pt idx="9">
                  <c:v>3.120725597164852</c:v>
                </c:pt>
                <c:pt idx="10">
                  <c:v>3.1182608854895424</c:v>
                </c:pt>
                <c:pt idx="11">
                  <c:v>3.1158071814306614</c:v>
                </c:pt>
                <c:pt idx="12">
                  <c:v>3.1133643862463396</c:v>
                </c:pt>
                <c:pt idx="13">
                  <c:v>3.1109324025114997</c:v>
                </c:pt>
                <c:pt idx="14">
                  <c:v>3.1085111340946101</c:v>
                </c:pt>
                <c:pt idx="15">
                  <c:v>3.106100486134955</c:v>
                </c:pt>
                <c:pt idx="16">
                  <c:v>3.1037003650203934</c:v>
                </c:pt>
                <c:pt idx="17">
                  <c:v>3.1013106783656048</c:v>
                </c:pt>
                <c:pt idx="18">
                  <c:v>3.0989313349908096</c:v>
                </c:pt>
                <c:pt idx="19">
                  <c:v>3.0965622449009396</c:v>
                </c:pt>
                <c:pt idx="20">
                  <c:v>3.0942033192652629</c:v>
                </c:pt>
                <c:pt idx="21">
                  <c:v>3.0918544703974407</c:v>
                </c:pt>
                <c:pt idx="22">
                  <c:v>3.0895156117360076</c:v>
                </c:pt>
                <c:pt idx="23">
                  <c:v>3.0871866578252707</c:v>
                </c:pt>
                <c:pt idx="24">
                  <c:v>3.0848675242966035</c:v>
                </c:pt>
                <c:pt idx="25">
                  <c:v>3.0825581278501395</c:v>
                </c:pt>
                <c:pt idx="26">
                  <c:v>3.080258386236848</c:v>
                </c:pt>
                <c:pt idx="27">
                  <c:v>3.0779682182409793</c:v>
                </c:pt>
                <c:pt idx="28">
                  <c:v>3.0756875436628781</c:v>
                </c:pt>
                <c:pt idx="29">
                  <c:v>3.0734162833021519</c:v>
                </c:pt>
                <c:pt idx="30">
                  <c:v>3.0711543589411838</c:v>
                </c:pt>
                <c:pt idx="31">
                  <c:v>3.0689016933289839</c:v>
                </c:pt>
                <c:pt idx="32">
                  <c:v>3.0666582101653721</c:v>
                </c:pt>
                <c:pt idx="33">
                  <c:v>3.0644238340854812</c:v>
                </c:pt>
                <c:pt idx="34">
                  <c:v>3.0621984906445721</c:v>
                </c:pt>
                <c:pt idx="35">
                  <c:v>3.0599821063031585</c:v>
                </c:pt>
                <c:pt idx="36">
                  <c:v>3.0577746084124309</c:v>
                </c:pt>
                <c:pt idx="37">
                  <c:v>3.0555759251999657</c:v>
                </c:pt>
                <c:pt idx="38">
                  <c:v>3.0533859857557277</c:v>
                </c:pt>
                <c:pt idx="39">
                  <c:v>3.0512047200183461</c:v>
                </c:pt>
                <c:pt idx="40">
                  <c:v>3.0490320587616604</c:v>
                </c:pt>
                <c:pt idx="41">
                  <c:v>3.0468679335815345</c:v>
                </c:pt>
                <c:pt idx="42">
                  <c:v>3.0447122768829322</c:v>
                </c:pt>
                <c:pt idx="43">
                  <c:v>3.0425650218672335</c:v>
                </c:pt>
                <c:pt idx="44">
                  <c:v>3.0404261025198123</c:v>
                </c:pt>
                <c:pt idx="45">
                  <c:v>3.0382954535978475</c:v>
                </c:pt>
                <c:pt idx="46">
                  <c:v>3.0361730106183678</c:v>
                </c:pt>
                <c:pt idx="47">
                  <c:v>3.034058709846533</c:v>
                </c:pt>
                <c:pt idx="48">
                  <c:v>3.0319524882841349</c:v>
                </c:pt>
                <c:pt idx="49">
                  <c:v>3.0298542836583189</c:v>
                </c:pt>
                <c:pt idx="50">
                  <c:v>3.0277640344105201</c:v>
                </c:pt>
                <c:pt idx="51">
                  <c:v>3.0256816796856141</c:v>
                </c:pt>
                <c:pt idx="52">
                  <c:v>3.0236071593212626</c:v>
                </c:pt>
                <c:pt idx="53">
                  <c:v>3.0215404138374686</c:v>
                </c:pt>
                <c:pt idx="54">
                  <c:v>3.019481384426324</c:v>
                </c:pt>
                <c:pt idx="55">
                  <c:v>3.0174300129419471</c:v>
                </c:pt>
                <c:pt idx="56">
                  <c:v>3.0153862418906114</c:v>
                </c:pt>
                <c:pt idx="57">
                  <c:v>3.0133500144210532</c:v>
                </c:pt>
                <c:pt idx="58">
                  <c:v>3.0113212743149598</c:v>
                </c:pt>
                <c:pt idx="59">
                  <c:v>3.0092999659776321</c:v>
                </c:pt>
                <c:pt idx="60">
                  <c:v>3.0072860344288239</c:v>
                </c:pt>
                <c:pt idx="61">
                  <c:v>3.0052794252937387</c:v>
                </c:pt>
                <c:pt idx="62">
                  <c:v>3.0032800847941989</c:v>
                </c:pt>
                <c:pt idx="63">
                  <c:v>3.0012879597399702</c:v>
                </c:pt>
                <c:pt idx="64">
                  <c:v>2.9993029975202448</c:v>
                </c:pt>
                <c:pt idx="65">
                  <c:v>2.9973251460952786</c:v>
                </c:pt>
                <c:pt idx="66">
                  <c:v>2.9953543539881773</c:v>
                </c:pt>
                <c:pt idx="67">
                  <c:v>2.9933905702768278</c:v>
                </c:pt>
                <c:pt idx="68">
                  <c:v>2.9914337445859798</c:v>
                </c:pt>
                <c:pt idx="69">
                  <c:v>2.9894838270794573</c:v>
                </c:pt>
                <c:pt idx="70">
                  <c:v>2.9875407684525204</c:v>
                </c:pt>
                <c:pt idx="71">
                  <c:v>2.9856045199243488</c:v>
                </c:pt>
                <c:pt idx="72">
                  <c:v>2.9836750332306696</c:v>
                </c:pt>
                <c:pt idx="73">
                  <c:v>2.9817522606165077</c:v>
                </c:pt>
                <c:pt idx="74">
                  <c:v>2.9798361548290595</c:v>
                </c:pt>
                <c:pt idx="75">
                  <c:v>2.9779266691106985</c:v>
                </c:pt>
                <c:pt idx="76">
                  <c:v>2.9760237571920976</c:v>
                </c:pt>
                <c:pt idx="77" formatCode="0.000">
                  <c:v>2.9751126810218795</c:v>
                </c:pt>
                <c:pt idx="78">
                  <c:v>2.9741273732854694</c:v>
                </c:pt>
                <c:pt idx="79">
                  <c:v>2.972237472077925</c:v>
                </c:pt>
                <c:pt idx="80">
                  <c:v>2.9703540087249456</c:v>
                </c:pt>
                <c:pt idx="81">
                  <c:v>2.9684769388439682</c:v>
                </c:pt>
                <c:pt idx="82">
                  <c:v>2.966606218508073</c:v>
                </c:pt>
                <c:pt idx="83">
                  <c:v>2.9647418042397904</c:v>
                </c:pt>
                <c:pt idx="84">
                  <c:v>2.9628836530049987</c:v>
                </c:pt>
                <c:pt idx="85">
                  <c:v>2.9610317222069371</c:v>
                </c:pt>
                <c:pt idx="86">
                  <c:v>2.9591859696803113</c:v>
                </c:pt>
                <c:pt idx="87">
                  <c:v>2.9573463536855007</c:v>
                </c:pt>
                <c:pt idx="88">
                  <c:v>2.9555128329028642</c:v>
                </c:pt>
                <c:pt idx="89">
                  <c:v>2.9536853664271341</c:v>
                </c:pt>
                <c:pt idx="90">
                  <c:v>2.951863913761914</c:v>
                </c:pt>
                <c:pt idx="91">
                  <c:v>2.9500484348142555</c:v>
                </c:pt>
                <c:pt idx="92">
                  <c:v>2.9482388898893324</c:v>
                </c:pt>
                <c:pt idx="93">
                  <c:v>2.9464352396852016</c:v>
                </c:pt>
                <c:pt idx="94">
                  <c:v>2.9446374452876451</c:v>
                </c:pt>
                <c:pt idx="95">
                  <c:v>2.9428454681650993</c:v>
                </c:pt>
                <c:pt idx="96">
                  <c:v>2.941059270163672</c:v>
                </c:pt>
                <c:pt idx="97">
                  <c:v>2.9392788135022268</c:v>
                </c:pt>
                <c:pt idx="98">
                  <c:v>2.9375040607675622</c:v>
                </c:pt>
                <c:pt idx="99">
                  <c:v>2.9357349749096562</c:v>
                </c:pt>
                <c:pt idx="100">
                  <c:v>2.9339715192369957</c:v>
                </c:pt>
                <c:pt idx="101">
                  <c:v>2.9322136574119742</c:v>
                </c:pt>
                <c:pt idx="102">
                  <c:v>2.9304613534463706</c:v>
                </c:pt>
                <c:pt idx="103">
                  <c:v>2.9287145716968888</c:v>
                </c:pt>
                <c:pt idx="104">
                  <c:v>2.9269732768607808</c:v>
                </c:pt>
                <c:pt idx="105">
                  <c:v>2.9252374339715286</c:v>
                </c:pt>
                <c:pt idx="106">
                  <c:v>2.9235070083945995</c:v>
                </c:pt>
                <c:pt idx="107">
                  <c:v>2.9217819658232687</c:v>
                </c:pt>
                <c:pt idx="108">
                  <c:v>2.9200622722745018</c:v>
                </c:pt>
                <c:pt idx="109">
                  <c:v>2.9183478940849072</c:v>
                </c:pt>
                <c:pt idx="110">
                  <c:v>2.9166387979067521</c:v>
                </c:pt>
                <c:pt idx="111">
                  <c:v>2.9149349507040325</c:v>
                </c:pt>
                <c:pt idx="112">
                  <c:v>2.9132363197486115</c:v>
                </c:pt>
                <c:pt idx="113">
                  <c:v>2.9115428726164185</c:v>
                </c:pt>
                <c:pt idx="114">
                  <c:v>2.9098545771836961</c:v>
                </c:pt>
                <c:pt idx="115">
                  <c:v>2.9081714016233176</c:v>
                </c:pt>
                <c:pt idx="116">
                  <c:v>2.9064933144011516</c:v>
                </c:pt>
                <c:pt idx="117">
                  <c:v>2.9048202842724864</c:v>
                </c:pt>
                <c:pt idx="118">
                  <c:v>2.9031522802785084</c:v>
                </c:pt>
                <c:pt idx="119">
                  <c:v>2.9014892717428289</c:v>
                </c:pt>
                <c:pt idx="120">
                  <c:v>2.8998312282680736</c:v>
                </c:pt>
                <c:pt idx="121">
                  <c:v>2.8981781197325112</c:v>
                </c:pt>
                <c:pt idx="122">
                  <c:v>2.8965299162867413</c:v>
                </c:pt>
                <c:pt idx="123">
                  <c:v>2.8948865883504293</c:v>
                </c:pt>
                <c:pt idx="124">
                  <c:v>2.8932481066090898</c:v>
                </c:pt>
                <c:pt idx="125">
                  <c:v>2.891614442010916</c:v>
                </c:pt>
                <c:pt idx="126">
                  <c:v>2.8899855657636611</c:v>
                </c:pt>
                <c:pt idx="127">
                  <c:v>2.8883614493315588</c:v>
                </c:pt>
                <c:pt idx="128">
                  <c:v>2.8867420644322972</c:v>
                </c:pt>
                <c:pt idx="129">
                  <c:v>2.8851273830340292</c:v>
                </c:pt>
                <c:pt idx="130">
                  <c:v>2.8835173773524341</c:v>
                </c:pt>
                <c:pt idx="131">
                  <c:v>2.8819120198478165</c:v>
                </c:pt>
                <c:pt idx="132">
                  <c:v>2.8803112832222495</c:v>
                </c:pt>
                <c:pt idx="133">
                  <c:v>2.8787151404167601</c:v>
                </c:pt>
                <c:pt idx="134">
                  <c:v>2.8771235646085564</c:v>
                </c:pt>
                <c:pt idx="135">
                  <c:v>2.8755365292082891</c:v>
                </c:pt>
                <c:pt idx="136">
                  <c:v>2.8739540078573613</c:v>
                </c:pt>
                <c:pt idx="137">
                  <c:v>2.8723759744252679</c:v>
                </c:pt>
                <c:pt idx="138">
                  <c:v>2.8708024030069836</c:v>
                </c:pt>
                <c:pt idx="139">
                  <c:v>2.8692332679203734</c:v>
                </c:pt>
                <c:pt idx="140">
                  <c:v>2.8676685437036569</c:v>
                </c:pt>
                <c:pt idx="141">
                  <c:v>2.8661082051128952</c:v>
                </c:pt>
                <c:pt idx="142">
                  <c:v>2.8645522271195198</c:v>
                </c:pt>
                <c:pt idx="143">
                  <c:v>2.8630005849078972</c:v>
                </c:pt>
                <c:pt idx="144">
                  <c:v>2.8614532538729223</c:v>
                </c:pt>
                <c:pt idx="145">
                  <c:v>2.8599102096176536</c:v>
                </c:pt>
                <c:pt idx="146">
                  <c:v>2.8583714279509711</c:v>
                </c:pt>
                <c:pt idx="147">
                  <c:v>2.8568368848852779</c:v>
                </c:pt>
                <c:pt idx="148">
                  <c:v>2.8553065566342259</c:v>
                </c:pt>
                <c:pt idx="149">
                  <c:v>2.853780419610477</c:v>
                </c:pt>
                <c:pt idx="150">
                  <c:v>2.852258450423494</c:v>
                </c:pt>
                <c:pt idx="151">
                  <c:v>2.8507406258773624</c:v>
                </c:pt>
                <c:pt idx="152">
                  <c:v>2.8492269229686409</c:v>
                </c:pt>
                <c:pt idx="153">
                  <c:v>2.8477173188842437</c:v>
                </c:pt>
                <c:pt idx="154">
                  <c:v>2.8462117909993512</c:v>
                </c:pt>
                <c:pt idx="155">
                  <c:v>2.8447103168753478</c:v>
                </c:pt>
                <c:pt idx="156">
                  <c:v>2.8432128742577865</c:v>
                </c:pt>
                <c:pt idx="157">
                  <c:v>2.8417194410743885</c:v>
                </c:pt>
                <c:pt idx="158">
                  <c:v>2.8402299954330608</c:v>
                </c:pt>
                <c:pt idx="159">
                  <c:v>2.8387445156199451</c:v>
                </c:pt>
                <c:pt idx="160">
                  <c:v>2.8372629800974947</c:v>
                </c:pt>
                <c:pt idx="161">
                  <c:v>2.8357853675025715</c:v>
                </c:pt>
                <c:pt idx="162">
                  <c:v>2.8343116566445752</c:v>
                </c:pt>
                <c:pt idx="163">
                  <c:v>2.8328418265035928</c:v>
                </c:pt>
                <c:pt idx="164">
                  <c:v>2.8313758562285751</c:v>
                </c:pt>
                <c:pt idx="165">
                  <c:v>2.8299137251355351</c:v>
                </c:pt>
                <c:pt idx="166">
                  <c:v>2.8284554127057748</c:v>
                </c:pt>
                <c:pt idx="167">
                  <c:v>2.8270008985841288</c:v>
                </c:pt>
                <c:pt idx="168">
                  <c:v>2.8255501625772395</c:v>
                </c:pt>
                <c:pt idx="169">
                  <c:v>2.8241031846518454</c:v>
                </c:pt>
                <c:pt idx="170">
                  <c:v>2.8226599449331014</c:v>
                </c:pt>
                <c:pt idx="171">
                  <c:v>2.8212204237029117</c:v>
                </c:pt>
                <c:pt idx="172">
                  <c:v>2.8197846013982955</c:v>
                </c:pt>
                <c:pt idx="173">
                  <c:v>2.8183524586097612</c:v>
                </c:pt>
                <c:pt idx="174">
                  <c:v>2.8169239760797118</c:v>
                </c:pt>
                <c:pt idx="175">
                  <c:v>2.8154991347008695</c:v>
                </c:pt>
                <c:pt idx="176">
                  <c:v>2.8140779155147126</c:v>
                </c:pt>
                <c:pt idx="177">
                  <c:v>2.8126602997099455</c:v>
                </c:pt>
                <c:pt idx="178">
                  <c:v>2.8112462686209763</c:v>
                </c:pt>
                <c:pt idx="179">
                  <c:v>2.8098358037264219</c:v>
                </c:pt>
                <c:pt idx="180">
                  <c:v>2.8084288866476284</c:v>
                </c:pt>
                <c:pt idx="181">
                  <c:v>2.8070254991472106</c:v>
                </c:pt>
                <c:pt idx="182">
                  <c:v>2.805625623127614</c:v>
                </c:pt>
                <c:pt idx="183">
                  <c:v>2.804229240629688</c:v>
                </c:pt>
                <c:pt idx="184">
                  <c:v>2.8028363338312841</c:v>
                </c:pt>
                <c:pt idx="185">
                  <c:v>2.8014468850458671</c:v>
                </c:pt>
                <c:pt idx="186">
                  <c:v>2.8000608767211461</c:v>
                </c:pt>
                <c:pt idx="187">
                  <c:v>2.7986782914377244</c:v>
                </c:pt>
                <c:pt idx="188">
                  <c:v>2.7972991119077601</c:v>
                </c:pt>
                <c:pt idx="189">
                  <c:v>2.79592332097365</c:v>
                </c:pt>
                <c:pt idx="190">
                  <c:v>2.7945509016067263</c:v>
                </c:pt>
                <c:pt idx="191">
                  <c:v>2.7931818369059718</c:v>
                </c:pt>
                <c:pt idx="192">
                  <c:v>2.7918161100967493</c:v>
                </c:pt>
                <c:pt idx="193">
                  <c:v>2.7904537045295479</c:v>
                </c:pt>
                <c:pt idx="194">
                  <c:v>2.7890946036787416</c:v>
                </c:pt>
                <c:pt idx="195">
                  <c:v>2.7877387911413685</c:v>
                </c:pt>
                <c:pt idx="196">
                  <c:v>2.7863862506359229</c:v>
                </c:pt>
                <c:pt idx="197">
                  <c:v>2.7850369660011589</c:v>
                </c:pt>
                <c:pt idx="198">
                  <c:v>2.7836909211949123</c:v>
                </c:pt>
                <c:pt idx="199">
                  <c:v>2.7823481002929382</c:v>
                </c:pt>
                <c:pt idx="200">
                  <c:v>2.7810084874877572</c:v>
                </c:pt>
                <c:pt idx="201">
                  <c:v>2.7796720670875201</c:v>
                </c:pt>
                <c:pt idx="202">
                  <c:v>2.7783388235148863</c:v>
                </c:pt>
                <c:pt idx="203">
                  <c:v>2.7770087413059139</c:v>
                </c:pt>
                <c:pt idx="204">
                  <c:v>2.7756818051089636</c:v>
                </c:pt>
                <c:pt idx="205">
                  <c:v>2.7743579996836156</c:v>
                </c:pt>
              </c:numCache>
            </c:numRef>
          </c:yVal>
          <c:smooth val="1"/>
          <c:extLst>
            <c:ext xmlns:c16="http://schemas.microsoft.com/office/drawing/2014/chart" uri="{C3380CC4-5D6E-409C-BE32-E72D297353CC}">
              <c16:uniqueId val="{00000000-F28A-41F5-82EA-5986AA1233A3}"/>
            </c:ext>
          </c:extLst>
        </c:ser>
        <c:dLbls>
          <c:showLegendKey val="0"/>
          <c:showVal val="0"/>
          <c:showCatName val="0"/>
          <c:showSerName val="0"/>
          <c:showPercent val="0"/>
          <c:showBubbleSize val="0"/>
        </c:dLbls>
        <c:axId val="255659072"/>
        <c:axId val="255658512"/>
      </c:scatterChart>
      <c:scatterChart>
        <c:scatterStyle val="smoothMarker"/>
        <c:varyColors val="0"/>
        <c:ser>
          <c:idx val="0"/>
          <c:order val="0"/>
          <c:spPr>
            <a:ln w="19050" cap="rnd">
              <a:solidFill>
                <a:schemeClr val="accent1"/>
              </a:solidFill>
              <a:round/>
            </a:ln>
            <a:effectLst/>
          </c:spPr>
          <c:marker>
            <c:symbol val="none"/>
          </c:marker>
          <c:xVal>
            <c:numRef>
              <c:f>Recordbreaker!$D$48:$D$253</c:f>
              <c:numCache>
                <c:formatCode>0.00</c:formatCode>
                <c:ptCount val="206"/>
                <c:pt idx="0">
                  <c:v>7.337628235387637</c:v>
                </c:pt>
                <c:pt idx="1">
                  <c:v>7.3129922925138029</c:v>
                </c:pt>
                <c:pt idx="2">
                  <c:v>7.2885562549215308</c:v>
                </c:pt>
                <c:pt idx="3">
                  <c:v>7.2643175911567122</c:v>
                </c:pt>
                <c:pt idx="4">
                  <c:v>7.2402738132229656</c:v>
                </c:pt>
                <c:pt idx="5">
                  <c:v>7.2164224756418651</c:v>
                </c:pt>
                <c:pt idx="6">
                  <c:v>7.1927611745376172</c:v>
                </c:pt>
                <c:pt idx="7">
                  <c:v>7.1692875467454655</c:v>
                </c:pt>
                <c:pt idx="8">
                  <c:v>7.1459992689430569</c:v>
                </c:pt>
                <c:pt idx="9">
                  <c:v>7.122894056804201</c:v>
                </c:pt>
                <c:pt idx="10">
                  <c:v>7.0999696641742736</c:v>
                </c:pt>
                <c:pt idx="11">
                  <c:v>7.0772238822664928</c:v>
                </c:pt>
                <c:pt idx="12">
                  <c:v>7.0546545388787782</c:v>
                </c:pt>
                <c:pt idx="13">
                  <c:v>7.0322594976302133</c:v>
                </c:pt>
                <c:pt idx="14">
                  <c:v>7.0100366572167561</c:v>
                </c:pt>
                <c:pt idx="15">
                  <c:v>6.9879839506856136</c:v>
                </c:pt>
                <c:pt idx="16">
                  <c:v>6.9660993447276534</c:v>
                </c:pt>
                <c:pt idx="17">
                  <c:v>6.9443808389873256</c:v>
                </c:pt>
                <c:pt idx="18">
                  <c:v>6.92282646538977</c:v>
                </c:pt>
                <c:pt idx="19">
                  <c:v>6.901434287484344</c:v>
                </c:pt>
                <c:pt idx="20">
                  <c:v>6.8802023998042889</c:v>
                </c:pt>
                <c:pt idx="21">
                  <c:v>6.8591289272419935</c:v>
                </c:pt>
                <c:pt idx="22">
                  <c:v>6.8382120244394518</c:v>
                </c:pt>
                <c:pt idx="23">
                  <c:v>6.8174498751934625</c:v>
                </c:pt>
                <c:pt idx="24">
                  <c:v>6.7968406918751452</c:v>
                </c:pt>
                <c:pt idx="25">
                  <c:v>6.7763827148633382</c:v>
                </c:pt>
                <c:pt idx="26">
                  <c:v>6.7560742119916508</c:v>
                </c:pt>
                <c:pt idx="27">
                  <c:v>6.7359134780085173</c:v>
                </c:pt>
                <c:pt idx="28">
                  <c:v>6.7158988340501651</c:v>
                </c:pt>
                <c:pt idx="29">
                  <c:v>6.6960286271259246</c:v>
                </c:pt>
                <c:pt idx="30">
                  <c:v>6.6763012296157127</c:v>
                </c:pt>
                <c:pt idx="31">
                  <c:v>6.6567150387792315</c:v>
                </c:pt>
                <c:pt idx="32">
                  <c:v>6.6372684762766045</c:v>
                </c:pt>
                <c:pt idx="33">
                  <c:v>6.6179599877001678</c:v>
                </c:pt>
                <c:pt idx="34">
                  <c:v>6.5987880421170146</c:v>
                </c:pt>
                <c:pt idx="35">
                  <c:v>6.5797511316222081</c:v>
                </c:pt>
                <c:pt idx="36">
                  <c:v>6.5608477709021233</c:v>
                </c:pt>
                <c:pt idx="37">
                  <c:v>6.542076496807784</c:v>
                </c:pt>
                <c:pt idx="38">
                  <c:v>6.5234358679379669</c:v>
                </c:pt>
                <c:pt idx="39">
                  <c:v>6.5049244642316859</c:v>
                </c:pt>
                <c:pt idx="40">
                  <c:v>6.4865408865699345</c:v>
                </c:pt>
                <c:pt idx="41">
                  <c:v>6.468283756386322</c:v>
                </c:pt>
                <c:pt idx="42">
                  <c:v>6.4501517152865313</c:v>
                </c:pt>
                <c:pt idx="43">
                  <c:v>6.4321434246761271</c:v>
                </c:pt>
                <c:pt idx="44">
                  <c:v>6.4142575653967917</c:v>
                </c:pt>
                <c:pt idx="45">
                  <c:v>6.396492837370495</c:v>
                </c:pt>
                <c:pt idx="46">
                  <c:v>6.378847959251571</c:v>
                </c:pt>
                <c:pt idx="47">
                  <c:v>6.3613216680864335</c:v>
                </c:pt>
                <c:pt idx="48">
                  <c:v>6.3439127189807412</c:v>
                </c:pt>
                <c:pt idx="49">
                  <c:v>6.3266198847738231</c:v>
                </c:pt>
                <c:pt idx="50">
                  <c:v>6.3094419557201453</c:v>
                </c:pt>
                <c:pt idx="51">
                  <c:v>6.2923777391777422</c:v>
                </c:pt>
                <c:pt idx="52">
                  <c:v>6.2754260593032827</c:v>
                </c:pt>
                <c:pt idx="53">
                  <c:v>6.2585857567537682</c:v>
                </c:pt>
                <c:pt idx="54">
                  <c:v>6.2418556883945522</c:v>
                </c:pt>
                <c:pt idx="55">
                  <c:v>6.2252347270136177</c:v>
                </c:pt>
                <c:pt idx="56">
                  <c:v>6.2087217610419341</c:v>
                </c:pt>
                <c:pt idx="57">
                  <c:v>6.1923156942797135</c:v>
                </c:pt>
                <c:pt idx="58">
                  <c:v>6.17601544562842</c:v>
                </c:pt>
                <c:pt idx="59">
                  <c:v>6.1598199488284751</c:v>
                </c:pt>
                <c:pt idx="60">
                  <c:v>6.1437281522024181</c:v>
                </c:pt>
                <c:pt idx="61">
                  <c:v>6.1277390184033882</c:v>
                </c:pt>
                <c:pt idx="62">
                  <c:v>6.1118515241689133</c:v>
                </c:pt>
                <c:pt idx="63">
                  <c:v>6.0960646600797332</c:v>
                </c:pt>
                <c:pt idx="64">
                  <c:v>6.0803774303236402</c:v>
                </c:pt>
                <c:pt idx="65">
                  <c:v>6.0647888524641482</c:v>
                </c:pt>
                <c:pt idx="66">
                  <c:v>6.0492979572139145</c:v>
                </c:pt>
                <c:pt idx="67">
                  <c:v>6.0339037882128093</c:v>
                </c:pt>
                <c:pt idx="68">
                  <c:v>6.0186054018104675</c:v>
                </c:pt>
                <c:pt idx="69">
                  <c:v>6.0034018668532338</c:v>
                </c:pt>
                <c:pt idx="70">
                  <c:v>5.9882922644755272</c:v>
                </c:pt>
                <c:pt idx="71">
                  <c:v>5.973275687895212</c:v>
                </c:pt>
                <c:pt idx="72">
                  <c:v>5.9583512422132703</c:v>
                </c:pt>
                <c:pt idx="73">
                  <c:v>5.9435180442173525</c:v>
                </c:pt>
                <c:pt idx="74">
                  <c:v>5.9287752221893051</c:v>
                </c:pt>
                <c:pt idx="75">
                  <c:v>5.9141219157164597</c:v>
                </c:pt>
                <c:pt idx="76">
                  <c:v>5.8995572755067629</c:v>
                </c:pt>
                <c:pt idx="77" formatCode="0.000">
                  <c:v>5.8925974958827299</c:v>
                </c:pt>
                <c:pt idx="78">
                  <c:v>5.8850804632074034</c:v>
                </c:pt>
                <c:pt idx="79">
                  <c:v>5.8706906512271608</c:v>
                </c:pt>
                <c:pt idx="80">
                  <c:v>5.8563870225621129</c:v>
                </c:pt>
                <c:pt idx="81">
                  <c:v>5.84216877062482</c:v>
                </c:pt>
                <c:pt idx="82">
                  <c:v>5.8280350990767831</c:v>
                </c:pt>
                <c:pt idx="83">
                  <c:v>5.8139852216641765</c:v>
                </c:pt>
                <c:pt idx="84">
                  <c:v>5.8000183620567691</c:v>
                </c:pt>
                <c:pt idx="85">
                  <c:v>5.7861337536899011</c:v>
                </c:pt>
                <c:pt idx="86">
                  <c:v>5.7723306396095539</c:v>
                </c:pt>
                <c:pt idx="87">
                  <c:v>5.7586082723203313</c:v>
                </c:pt>
                <c:pt idx="88">
                  <c:v>5.7449659136363636</c:v>
                </c:pt>
                <c:pt idx="89">
                  <c:v>5.7314028345350589</c:v>
                </c:pt>
                <c:pt idx="90">
                  <c:v>5.7179183150136019</c:v>
                </c:pt>
                <c:pt idx="91">
                  <c:v>5.704511643948166</c:v>
                </c:pt>
                <c:pt idx="92">
                  <c:v>5.6911821189557807</c:v>
                </c:pt>
                <c:pt idx="93">
                  <c:v>5.677929046258793</c:v>
                </c:pt>
                <c:pt idx="94">
                  <c:v>5.6647517405518872</c:v>
                </c:pt>
                <c:pt idx="95">
                  <c:v>5.6516495248714831</c:v>
                </c:pt>
                <c:pt idx="96">
                  <c:v>5.6386217304677144</c:v>
                </c:pt>
                <c:pt idx="97">
                  <c:v>5.625667696678649</c:v>
                </c:pt>
                <c:pt idx="98">
                  <c:v>5.612786770806899</c:v>
                </c:pt>
                <c:pt idx="99">
                  <c:v>5.5999783079984562</c:v>
                </c:pt>
                <c:pt idx="100">
                  <c:v>5.5872416711238273</c:v>
                </c:pt>
                <c:pt idx="101">
                  <c:v>5.5745762306612292</c:v>
                </c:pt>
                <c:pt idx="102">
                  <c:v>5.5619813645820155</c:v>
                </c:pt>
                <c:pt idx="103">
                  <c:v>5.5494564582381187</c:v>
                </c:pt>
                <c:pt idx="104">
                  <c:v>5.53700090425159</c:v>
                </c:pt>
                <c:pt idx="105">
                  <c:v>5.524614102406062</c:v>
                </c:pt>
                <c:pt idx="106">
                  <c:v>5.5122954595402049</c:v>
                </c:pt>
                <c:pt idx="107">
                  <c:v>5.5000443894431443</c:v>
                </c:pt>
                <c:pt idx="108">
                  <c:v>5.4878603127516294</c:v>
                </c:pt>
                <c:pt idx="109">
                  <c:v>5.4757426568491256</c:v>
                </c:pt>
                <c:pt idx="110">
                  <c:v>5.4636908557667203</c:v>
                </c:pt>
                <c:pt idx="111">
                  <c:v>5.4517043500856808</c:v>
                </c:pt>
                <c:pt idx="112">
                  <c:v>5.4397825868418153</c:v>
                </c:pt>
                <c:pt idx="113">
                  <c:v>5.42792501943154</c:v>
                </c:pt>
                <c:pt idx="114">
                  <c:v>5.4161311075194938</c:v>
                </c:pt>
                <c:pt idx="115">
                  <c:v>5.4044003169478643</c:v>
                </c:pt>
                <c:pt idx="116">
                  <c:v>5.3927321196472651</c:v>
                </c:pt>
                <c:pt idx="117">
                  <c:v>5.3811259935491442</c:v>
                </c:pt>
                <c:pt idx="118">
                  <c:v>5.3695814224997687</c:v>
                </c:pt>
                <c:pt idx="119">
                  <c:v>5.3580978961755976</c:v>
                </c:pt>
                <c:pt idx="120">
                  <c:v>5.3466749100002389</c:v>
                </c:pt>
                <c:pt idx="121">
                  <c:v>5.3353119650627363</c:v>
                </c:pt>
                <c:pt idx="122">
                  <c:v>5.324008568037284</c:v>
                </c:pt>
                <c:pt idx="123">
                  <c:v>5.3127642311043468</c:v>
                </c:pt>
                <c:pt idx="124">
                  <c:v>5.3015784718730972</c:v>
                </c:pt>
                <c:pt idx="125">
                  <c:v>5.290450813305136</c:v>
                </c:pt>
                <c:pt idx="126">
                  <c:v>5.2793807836396018</c:v>
                </c:pt>
                <c:pt idx="127">
                  <c:v>5.2683679163194244</c:v>
                </c:pt>
                <c:pt idx="128">
                  <c:v>5.2574117499189192</c:v>
                </c:pt>
                <c:pt idx="129">
                  <c:v>5.2465118280725438</c:v>
                </c:pt>
                <c:pt idx="130">
                  <c:v>5.2356676994048774</c:v>
                </c:pt>
                <c:pt idx="131">
                  <c:v>5.2248789174617327</c:v>
                </c:pt>
                <c:pt idx="132">
                  <c:v>5.2141450406424621</c:v>
                </c:pt>
                <c:pt idx="133">
                  <c:v>5.2034656321333346</c:v>
                </c:pt>
                <c:pt idx="134">
                  <c:v>5.1928402598420753</c:v>
                </c:pt>
                <c:pt idx="135">
                  <c:v>5.1822684963334273</c:v>
                </c:pt>
                <c:pt idx="136">
                  <c:v>5.1717499187658165</c:v>
                </c:pt>
                <c:pt idx="137">
                  <c:v>5.1612841088290144</c:v>
                </c:pt>
                <c:pt idx="138">
                  <c:v>5.1508706526828973</c:v>
                </c:pt>
                <c:pt idx="139">
                  <c:v>5.1405091408970893</c:v>
                </c:pt>
                <c:pt idx="140">
                  <c:v>5.1301991683917141</c:v>
                </c:pt>
                <c:pt idx="141">
                  <c:v>5.119940334378998</c:v>
                </c:pt>
                <c:pt idx="142">
                  <c:v>5.1097322423058786</c:v>
                </c:pt>
                <c:pt idx="143">
                  <c:v>5.0995744997975487</c:v>
                </c:pt>
                <c:pt idx="144">
                  <c:v>5.0894667186018632</c:v>
                </c:pt>
                <c:pt idx="145">
                  <c:v>5.0794085145346726</c:v>
                </c:pt>
                <c:pt idx="146">
                  <c:v>5.0693995074260103</c:v>
                </c:pt>
                <c:pt idx="147">
                  <c:v>5.059439321067166</c:v>
                </c:pt>
                <c:pt idx="148">
                  <c:v>5.0495275831585538</c:v>
                </c:pt>
                <c:pt idx="149">
                  <c:v>5.0396639252584787</c:v>
                </c:pt>
                <c:pt idx="150">
                  <c:v>5.0298479827326377</c:v>
                </c:pt>
                <c:pt idx="151">
                  <c:v>5.0200793947044726</c:v>
                </c:pt>
                <c:pt idx="152">
                  <c:v>5.0103578040062837</c:v>
                </c:pt>
                <c:pt idx="153">
                  <c:v>5.0006828571310837</c:v>
                </c:pt>
                <c:pt idx="154">
                  <c:v>4.9910542041852892</c:v>
                </c:pt>
                <c:pt idx="155">
                  <c:v>4.9814714988420503</c:v>
                </c:pt>
                <c:pt idx="156">
                  <c:v>4.9719343982953408</c:v>
                </c:pt>
                <c:pt idx="157">
                  <c:v>4.9624425632148359</c:v>
                </c:pt>
                <c:pt idx="158">
                  <c:v>4.9529956577013587</c:v>
                </c:pt>
                <c:pt idx="159">
                  <c:v>4.9435933492431126</c:v>
                </c:pt>
                <c:pt idx="160">
                  <c:v>4.9342353086725508</c:v>
                </c:pt>
                <c:pt idx="161">
                  <c:v>4.9249212101239106</c:v>
                </c:pt>
                <c:pt idx="162">
                  <c:v>4.9156507309914099</c:v>
                </c:pt>
                <c:pt idx="163">
                  <c:v>4.9064235518880635</c:v>
                </c:pt>
                <c:pt idx="164">
                  <c:v>4.8972393566051435</c:v>
                </c:pt>
                <c:pt idx="165">
                  <c:v>4.8880978320722503</c:v>
                </c:pt>
                <c:pt idx="166">
                  <c:v>4.8789986683179851</c:v>
                </c:pt>
                <c:pt idx="167">
                  <c:v>4.8699415584312238</c:v>
                </c:pt>
                <c:pt idx="168">
                  <c:v>4.8609261985229697</c:v>
                </c:pt>
                <c:pt idx="169">
                  <c:v>4.8519522876887935</c:v>
                </c:pt>
                <c:pt idx="170">
                  <c:v>4.8430195279718076</c:v>
                </c:pt>
                <c:pt idx="171">
                  <c:v>4.8341276243262081</c:v>
                </c:pt>
                <c:pt idx="172">
                  <c:v>4.8252762845813955</c:v>
                </c:pt>
                <c:pt idx="173">
                  <c:v>4.8164652194065702</c:v>
                </c:pt>
                <c:pt idx="174">
                  <c:v>4.8076941422759027</c:v>
                </c:pt>
                <c:pt idx="175">
                  <c:v>4.798962769434171</c:v>
                </c:pt>
                <c:pt idx="176">
                  <c:v>4.7902708198629602</c:v>
                </c:pt>
                <c:pt idx="177">
                  <c:v>4.7816180152473482</c:v>
                </c:pt>
                <c:pt idx="178">
                  <c:v>4.7730040799430045</c:v>
                </c:pt>
                <c:pt idx="179">
                  <c:v>4.7644287409439059</c:v>
                </c:pt>
                <c:pt idx="180">
                  <c:v>4.7558917278504058</c:v>
                </c:pt>
                <c:pt idx="181">
                  <c:v>4.7473927728378262</c:v>
                </c:pt>
                <c:pt idx="182">
                  <c:v>4.7389316106255155</c:v>
                </c:pt>
                <c:pt idx="183">
                  <c:v>4.7305079784463011</c:v>
                </c:pt>
                <c:pt idx="184">
                  <c:v>4.7221216160164365</c:v>
                </c:pt>
                <c:pt idx="185">
                  <c:v>4.7137722655059795</c:v>
                </c:pt>
                <c:pt idx="186">
                  <c:v>4.7054596715095522</c:v>
                </c:pt>
                <c:pt idx="187">
                  <c:v>4.6971835810175726</c:v>
                </c:pt>
                <c:pt idx="188">
                  <c:v>4.688943743387874</c:v>
                </c:pt>
                <c:pt idx="189">
                  <c:v>4.6807399103177172</c:v>
                </c:pt>
                <c:pt idx="190">
                  <c:v>4.6725718358162371</c:v>
                </c:pt>
                <c:pt idx="191">
                  <c:v>4.664439276177248</c:v>
                </c:pt>
                <c:pt idx="192">
                  <c:v>4.6563419899524634</c:v>
                </c:pt>
                <c:pt idx="193">
                  <c:v>4.6482797379250638</c:v>
                </c:pt>
                <c:pt idx="194">
                  <c:v>4.6402522830836626</c:v>
                </c:pt>
                <c:pt idx="195">
                  <c:v>4.6322593905966158</c:v>
                </c:pt>
                <c:pt idx="196">
                  <c:v>4.6243008277867466</c:v>
                </c:pt>
                <c:pt idx="197">
                  <c:v>4.6163763641063369</c:v>
                </c:pt>
                <c:pt idx="198">
                  <c:v>4.6084857711125409</c:v>
                </c:pt>
                <c:pt idx="199">
                  <c:v>4.6006288224431149</c:v>
                </c:pt>
                <c:pt idx="200">
                  <c:v>4.5928052937924821</c:v>
                </c:pt>
                <c:pt idx="201">
                  <c:v>4.5850149628881383</c:v>
                </c:pt>
                <c:pt idx="202">
                  <c:v>4.5772576094673783</c:v>
                </c:pt>
                <c:pt idx="203">
                  <c:v>4.5695330152543558</c:v>
                </c:pt>
                <c:pt idx="204">
                  <c:v>4.5618409639374367</c:v>
                </c:pt>
                <c:pt idx="205">
                  <c:v>4.5541812411468721</c:v>
                </c:pt>
              </c:numCache>
            </c:numRef>
          </c:xVal>
          <c:yVal>
            <c:numRef>
              <c:f>Recordbreaker!$E$48:$E$379</c:f>
              <c:numCache>
                <c:formatCode>0.00</c:formatCode>
                <c:ptCount val="332"/>
                <c:pt idx="0">
                  <c:v>189.85872882325691</c:v>
                </c:pt>
                <c:pt idx="1">
                  <c:v>189.88583991632598</c:v>
                </c:pt>
                <c:pt idx="2">
                  <c:v>189.91248075556672</c:v>
                </c:pt>
                <c:pt idx="3">
                  <c:v>189.93865816962287</c:v>
                </c:pt>
                <c:pt idx="4">
                  <c:v>189.96437886287083</c:v>
                </c:pt>
                <c:pt idx="5">
                  <c:v>189.98964941819546</c:v>
                </c:pt>
                <c:pt idx="6">
                  <c:v>190.01447629969272</c:v>
                </c:pt>
                <c:pt idx="7">
                  <c:v>190.03886585529989</c:v>
                </c:pt>
                <c:pt idx="8">
                  <c:v>190.06282431935742</c:v>
                </c:pt>
                <c:pt idx="9">
                  <c:v>190.08635781510264</c:v>
                </c:pt>
                <c:pt idx="10">
                  <c:v>190.10947235709932</c:v>
                </c:pt>
                <c:pt idx="11">
                  <c:v>190.13217385360284</c:v>
                </c:pt>
                <c:pt idx="12">
                  <c:v>190.15446810886544</c:v>
                </c:pt>
                <c:pt idx="13">
                  <c:v>190.17636082538064</c:v>
                </c:pt>
                <c:pt idx="14">
                  <c:v>190.1978576060711</c:v>
                </c:pt>
                <c:pt idx="15">
                  <c:v>190.21896395642017</c:v>
                </c:pt>
                <c:pt idx="16">
                  <c:v>190.23968528654865</c:v>
                </c:pt>
                <c:pt idx="17">
                  <c:v>190.26002691323993</c:v>
                </c:pt>
                <c:pt idx="18">
                  <c:v>190.27999406191293</c:v>
                </c:pt>
                <c:pt idx="19">
                  <c:v>190.29959186854614</c:v>
                </c:pt>
                <c:pt idx="20">
                  <c:v>190.31882538155318</c:v>
                </c:pt>
                <c:pt idx="21">
                  <c:v>190.33769956361166</c:v>
                </c:pt>
                <c:pt idx="22">
                  <c:v>190.35621929344643</c:v>
                </c:pt>
                <c:pt idx="23">
                  <c:v>190.37438936756917</c:v>
                </c:pt>
                <c:pt idx="24">
                  <c:v>190.39221450197437</c:v>
                </c:pt>
                <c:pt idx="25">
                  <c:v>190.40969933379472</c:v>
                </c:pt>
                <c:pt idx="26">
                  <c:v>190.42684842291501</c:v>
                </c:pt>
                <c:pt idx="27">
                  <c:v>190.44366625354738</c:v>
                </c:pt>
                <c:pt idx="28">
                  <c:v>190.46015723576826</c:v>
                </c:pt>
                <c:pt idx="29">
                  <c:v>190.47632570701816</c:v>
                </c:pt>
                <c:pt idx="30">
                  <c:v>190.49217593356522</c:v>
                </c:pt>
                <c:pt idx="31">
                  <c:v>190.5077121119341</c:v>
                </c:pt>
                <c:pt idx="32">
                  <c:v>190.52293837030038</c:v>
                </c:pt>
                <c:pt idx="33">
                  <c:v>190.53785876985199</c:v>
                </c:pt>
                <c:pt idx="34">
                  <c:v>190.55247730611848</c:v>
                </c:pt>
                <c:pt idx="35">
                  <c:v>190.56679791026886</c:v>
                </c:pt>
                <c:pt idx="36">
                  <c:v>190.5808244503788</c:v>
                </c:pt>
                <c:pt idx="37">
                  <c:v>190.59456073266838</c:v>
                </c:pt>
                <c:pt idx="38">
                  <c:v>190.60801050271118</c:v>
                </c:pt>
                <c:pt idx="39">
                  <c:v>190.62117744661469</c:v>
                </c:pt>
                <c:pt idx="40">
                  <c:v>190.63406519217398</c:v>
                </c:pt>
                <c:pt idx="41">
                  <c:v>190.64667730999844</c:v>
                </c:pt>
                <c:pt idx="42">
                  <c:v>190.65901731461292</c:v>
                </c:pt>
                <c:pt idx="43">
                  <c:v>190.67108866553343</c:v>
                </c:pt>
                <c:pt idx="44">
                  <c:v>190.68289476831839</c:v>
                </c:pt>
                <c:pt idx="45">
                  <c:v>190.69443897559637</c:v>
                </c:pt>
                <c:pt idx="46">
                  <c:v>190.70572458806978</c:v>
                </c:pt>
                <c:pt idx="47">
                  <c:v>190.71675485549696</c:v>
                </c:pt>
                <c:pt idx="48">
                  <c:v>190.72753297765124</c:v>
                </c:pt>
                <c:pt idx="49">
                  <c:v>190.73806210525936</c:v>
                </c:pt>
                <c:pt idx="50">
                  <c:v>190.74834534091835</c:v>
                </c:pt>
                <c:pt idx="51">
                  <c:v>190.75838573999255</c:v>
                </c:pt>
                <c:pt idx="52">
                  <c:v>190.76818631149041</c:v>
                </c:pt>
                <c:pt idx="53">
                  <c:v>190.77775001892212</c:v>
                </c:pt>
                <c:pt idx="54">
                  <c:v>190.78707978113843</c:v>
                </c:pt>
                <c:pt idx="55">
                  <c:v>190.796178473151</c:v>
                </c:pt>
                <c:pt idx="56">
                  <c:v>190.80504892693503</c:v>
                </c:pt>
                <c:pt idx="57">
                  <c:v>190.81369393221411</c:v>
                </c:pt>
                <c:pt idx="58">
                  <c:v>190.82211623722864</c:v>
                </c:pt>
                <c:pt idx="59">
                  <c:v>190.83031854948712</c:v>
                </c:pt>
                <c:pt idx="60">
                  <c:v>190.8383035365014</c:v>
                </c:pt>
                <c:pt idx="61">
                  <c:v>190.84607382650651</c:v>
                </c:pt>
                <c:pt idx="62">
                  <c:v>190.85363200916481</c:v>
                </c:pt>
                <c:pt idx="63">
                  <c:v>190.86098063625511</c:v>
                </c:pt>
                <c:pt idx="64">
                  <c:v>190.86812222234741</c:v>
                </c:pt>
                <c:pt idx="65">
                  <c:v>190.87505924546329</c:v>
                </c:pt>
                <c:pt idx="66">
                  <c:v>190.8817941477223</c:v>
                </c:pt>
                <c:pt idx="67">
                  <c:v>190.88832933597484</c:v>
                </c:pt>
                <c:pt idx="68">
                  <c:v>190.89466718242201</c:v>
                </c:pt>
                <c:pt idx="69">
                  <c:v>190.90081002522206</c:v>
                </c:pt>
                <c:pt idx="70">
                  <c:v>190.90676016908478</c:v>
                </c:pt>
                <c:pt idx="71">
                  <c:v>190.91251988585316</c:v>
                </c:pt>
                <c:pt idx="72">
                  <c:v>190.91809141507346</c:v>
                </c:pt>
                <c:pt idx="73">
                  <c:v>190.92347696455309</c:v>
                </c:pt>
                <c:pt idx="74">
                  <c:v>190.92867871090738</c:v>
                </c:pt>
                <c:pt idx="75">
                  <c:v>190.93369880009507</c:v>
                </c:pt>
                <c:pt idx="76">
                  <c:v>190.93853934794311</c:v>
                </c:pt>
                <c:pt idx="77">
                  <c:v>190.94079965152102</c:v>
                </c:pt>
                <c:pt idx="78">
                  <c:v>190.94320244066017</c:v>
                </c:pt>
                <c:pt idx="79">
                  <c:v>190.94769013534085</c:v>
                </c:pt>
                <c:pt idx="80">
                  <c:v>190.95200446045848</c:v>
                </c:pt>
                <c:pt idx="81">
                  <c:v>190.95614741634907</c:v>
                </c:pt>
                <c:pt idx="82">
                  <c:v>190.96012097568487</c:v>
                </c:pt>
                <c:pt idx="83">
                  <c:v>190.9639270839389</c:v>
                </c:pt>
                <c:pt idx="84">
                  <c:v>190.96756765983994</c:v>
                </c:pt>
                <c:pt idx="85">
                  <c:v>190.97104459581874</c:v>
                </c:pt>
                <c:pt idx="86">
                  <c:v>190.97435975844522</c:v>
                </c:pt>
                <c:pt idx="87">
                  <c:v>190.97751498885714</c:v>
                </c:pt>
                <c:pt idx="88">
                  <c:v>190.98051210318044</c:v>
                </c:pt>
                <c:pt idx="89">
                  <c:v>190.98335289294113</c:v>
                </c:pt>
                <c:pt idx="90">
                  <c:v>190.98603912546935</c:v>
                </c:pt>
                <c:pt idx="91">
                  <c:v>190.98857254429535</c:v>
                </c:pt>
                <c:pt idx="92">
                  <c:v>190.99095486953814</c:v>
                </c:pt>
                <c:pt idx="93">
                  <c:v>190.99318779828621</c:v>
                </c:pt>
                <c:pt idx="94">
                  <c:v>190.99527300497118</c:v>
                </c:pt>
                <c:pt idx="95">
                  <c:v>190.99721214173422</c:v>
                </c:pt>
                <c:pt idx="96">
                  <c:v>190.99900683878539</c:v>
                </c:pt>
                <c:pt idx="97">
                  <c:v>191.00065870475612</c:v>
                </c:pt>
                <c:pt idx="98">
                  <c:v>191.00216932704521</c:v>
                </c:pt>
                <c:pt idx="99">
                  <c:v>191.00354027215784</c:v>
                </c:pt>
                <c:pt idx="100">
                  <c:v>191.00477308603848</c:v>
                </c:pt>
                <c:pt idx="101">
                  <c:v>191.00586929439751</c:v>
                </c:pt>
                <c:pt idx="102">
                  <c:v>191.00683040303161</c:v>
                </c:pt>
                <c:pt idx="103">
                  <c:v>191.00765789813798</c:v>
                </c:pt>
                <c:pt idx="104">
                  <c:v>191.00835324662316</c:v>
                </c:pt>
                <c:pt idx="105">
                  <c:v>191.00891789640553</c:v>
                </c:pt>
                <c:pt idx="106">
                  <c:v>191.00935327671269</c:v>
                </c:pt>
                <c:pt idx="107">
                  <c:v>191.00966079837292</c:v>
                </c:pt>
                <c:pt idx="108">
                  <c:v>191.00984185410158</c:v>
                </c:pt>
                <c:pt idx="109">
                  <c:v>191.00989781878201</c:v>
                </c:pt>
                <c:pt idx="110">
                  <c:v>191.00983004974145</c:v>
                </c:pt>
                <c:pt idx="111">
                  <c:v>191.00963988702171</c:v>
                </c:pt>
                <c:pt idx="112">
                  <c:v>191.00932865364507</c:v>
                </c:pt>
                <c:pt idx="113">
                  <c:v>191.0088976558753</c:v>
                </c:pt>
                <c:pt idx="114">
                  <c:v>191.00834818347394</c:v>
                </c:pt>
                <c:pt idx="115">
                  <c:v>191.00768150995188</c:v>
                </c:pt>
                <c:pt idx="116">
                  <c:v>191.00689889281654</c:v>
                </c:pt>
                <c:pt idx="117">
                  <c:v>191.00600157381427</c:v>
                </c:pt>
                <c:pt idx="118">
                  <c:v>191.00499077916908</c:v>
                </c:pt>
                <c:pt idx="119">
                  <c:v>191.00386771981624</c:v>
                </c:pt>
                <c:pt idx="120">
                  <c:v>191.00263359163256</c:v>
                </c:pt>
                <c:pt idx="121">
                  <c:v>191.00128957566176</c:v>
                </c:pt>
                <c:pt idx="122">
                  <c:v>190.99983683833642</c:v>
                </c:pt>
                <c:pt idx="123">
                  <c:v>190.99827653169606</c:v>
                </c:pt>
                <c:pt idx="124">
                  <c:v>190.99660979360067</c:v>
                </c:pt>
                <c:pt idx="125">
                  <c:v>190.99483774794155</c:v>
                </c:pt>
                <c:pt idx="126">
                  <c:v>190.99296150484727</c:v>
                </c:pt>
                <c:pt idx="127">
                  <c:v>190.99098216088709</c:v>
                </c:pt>
                <c:pt idx="128">
                  <c:v>190.9889007992702</c:v>
                </c:pt>
                <c:pt idx="129">
                  <c:v>190.9867184900416</c:v>
                </c:pt>
                <c:pt idx="130">
                  <c:v>190.98443629027486</c:v>
                </c:pt>
                <c:pt idx="131">
                  <c:v>190.98205524426112</c:v>
                </c:pt>
                <c:pt idx="132">
                  <c:v>190.9795763836953</c:v>
                </c:pt>
                <c:pt idx="133">
                  <c:v>190.97700072785858</c:v>
                </c:pt>
                <c:pt idx="134">
                  <c:v>190.97432928379831</c:v>
                </c:pt>
                <c:pt idx="135">
                  <c:v>190.97156304650446</c:v>
                </c:pt>
                <c:pt idx="136">
                  <c:v>190.96870299908309</c:v>
                </c:pt>
                <c:pt idx="137">
                  <c:v>190.9657501129272</c:v>
                </c:pt>
                <c:pt idx="138">
                  <c:v>190.96270534788405</c:v>
                </c:pt>
                <c:pt idx="139">
                  <c:v>190.9595696524205</c:v>
                </c:pt>
                <c:pt idx="140">
                  <c:v>190.9563439637848</c:v>
                </c:pt>
                <c:pt idx="141">
                  <c:v>190.9530292081661</c:v>
                </c:pt>
                <c:pt idx="142">
                  <c:v>190.94962630085081</c:v>
                </c:pt>
                <c:pt idx="143">
                  <c:v>190.9461361463774</c:v>
                </c:pt>
                <c:pt idx="144">
                  <c:v>190.94255963868704</c:v>
                </c:pt>
                <c:pt idx="145">
                  <c:v>190.9388976612733</c:v>
                </c:pt>
                <c:pt idx="146">
                  <c:v>190.93515108732822</c:v>
                </c:pt>
                <c:pt idx="147">
                  <c:v>190.93132077988651</c:v>
                </c:pt>
                <c:pt idx="148">
                  <c:v>190.92740759196747</c:v>
                </c:pt>
                <c:pt idx="149">
                  <c:v>190.92341236671388</c:v>
                </c:pt>
                <c:pt idx="150">
                  <c:v>190.9193359375297</c:v>
                </c:pt>
                <c:pt idx="151">
                  <c:v>190.91517912821442</c:v>
                </c:pt>
                <c:pt idx="152">
                  <c:v>190.91094275309598</c:v>
                </c:pt>
                <c:pt idx="153">
                  <c:v>190.90662761716104</c:v>
                </c:pt>
                <c:pt idx="154">
                  <c:v>190.90223451618354</c:v>
                </c:pt>
                <c:pt idx="155">
                  <c:v>190.8977642368508</c:v>
                </c:pt>
                <c:pt idx="156">
                  <c:v>190.89321755688789</c:v>
                </c:pt>
                <c:pt idx="157">
                  <c:v>190.8885952451798</c:v>
                </c:pt>
                <c:pt idx="158">
                  <c:v>190.88389806189167</c:v>
                </c:pt>
                <c:pt idx="159">
                  <c:v>190.8791267585872</c:v>
                </c:pt>
                <c:pt idx="160">
                  <c:v>190.87428207834515</c:v>
                </c:pt>
                <c:pt idx="161">
                  <c:v>190.86936475587362</c:v>
                </c:pt>
                <c:pt idx="162">
                  <c:v>190.86437551762327</c:v>
                </c:pt>
                <c:pt idx="163">
                  <c:v>190.85931508189788</c:v>
                </c:pt>
                <c:pt idx="164">
                  <c:v>190.8541841589637</c:v>
                </c:pt>
                <c:pt idx="165">
                  <c:v>190.84898345115718</c:v>
                </c:pt>
                <c:pt idx="166">
                  <c:v>190.84371365299026</c:v>
                </c:pt>
                <c:pt idx="167">
                  <c:v>190.83837545125499</c:v>
                </c:pt>
                <c:pt idx="168">
                  <c:v>190.83296952512572</c:v>
                </c:pt>
                <c:pt idx="169">
                  <c:v>190.82749654626014</c:v>
                </c:pt>
                <c:pt idx="170">
                  <c:v>190.82195717889849</c:v>
                </c:pt>
                <c:pt idx="171">
                  <c:v>190.8163520799614</c:v>
                </c:pt>
                <c:pt idx="172">
                  <c:v>190.8106818991462</c:v>
                </c:pt>
                <c:pt idx="173">
                  <c:v>190.80494727902152</c:v>
                </c:pt>
                <c:pt idx="174">
                  <c:v>190.79914885512062</c:v>
                </c:pt>
                <c:pt idx="175">
                  <c:v>190.79328725603361</c:v>
                </c:pt>
                <c:pt idx="176">
                  <c:v>190.78736310349714</c:v>
                </c:pt>
                <c:pt idx="177">
                  <c:v>190.78137701248437</c:v>
                </c:pt>
                <c:pt idx="178">
                  <c:v>190.77532959129189</c:v>
                </c:pt>
                <c:pt idx="179">
                  <c:v>190.7692214416266</c:v>
                </c:pt>
                <c:pt idx="180">
                  <c:v>190.76305315869044</c:v>
                </c:pt>
                <c:pt idx="181">
                  <c:v>190.75682533126425</c:v>
                </c:pt>
                <c:pt idx="182">
                  <c:v>190.75053854179043</c:v>
                </c:pt>
                <c:pt idx="183">
                  <c:v>190.74419336645374</c:v>
                </c:pt>
                <c:pt idx="184">
                  <c:v>190.73779037526177</c:v>
                </c:pt>
                <c:pt idx="185">
                  <c:v>190.73133013212353</c:v>
                </c:pt>
                <c:pt idx="186">
                  <c:v>190.72481319492692</c:v>
                </c:pt>
                <c:pt idx="187">
                  <c:v>190.71824011561563</c:v>
                </c:pt>
                <c:pt idx="188">
                  <c:v>190.71161144026397</c:v>
                </c:pt>
                <c:pt idx="189">
                  <c:v>190.70492770915138</c:v>
                </c:pt>
                <c:pt idx="190">
                  <c:v>190.69818945683542</c:v>
                </c:pt>
                <c:pt idx="191">
                  <c:v>190.69139721222385</c:v>
                </c:pt>
                <c:pt idx="192">
                  <c:v>190.68455149864528</c:v>
                </c:pt>
                <c:pt idx="193">
                  <c:v>190.67765283391955</c:v>
                </c:pt>
                <c:pt idx="194">
                  <c:v>190.67070173042626</c:v>
                </c:pt>
                <c:pt idx="195">
                  <c:v>190.6636986951726</c:v>
                </c:pt>
                <c:pt idx="196">
                  <c:v>190.6566442298604</c:v>
                </c:pt>
                <c:pt idx="197">
                  <c:v>190.64953883095188</c:v>
                </c:pt>
                <c:pt idx="198">
                  <c:v>190.64238298973461</c:v>
                </c:pt>
                <c:pt idx="199">
                  <c:v>190.63517719238547</c:v>
                </c:pt>
                <c:pt idx="200">
                  <c:v>190.62792192003374</c:v>
                </c:pt>
                <c:pt idx="201">
                  <c:v>190.62061764882304</c:v>
                </c:pt>
                <c:pt idx="202">
                  <c:v>190.61326484997292</c:v>
                </c:pt>
                <c:pt idx="203">
                  <c:v>190.60586398983878</c:v>
                </c:pt>
                <c:pt idx="204">
                  <c:v>190.5984155299717</c:v>
                </c:pt>
                <c:pt idx="205">
                  <c:v>190.59091992717691</c:v>
                </c:pt>
              </c:numCache>
            </c:numRef>
          </c:yVal>
          <c:smooth val="1"/>
          <c:extLst>
            <c:ext xmlns:c16="http://schemas.microsoft.com/office/drawing/2014/chart" uri="{C3380CC4-5D6E-409C-BE32-E72D297353CC}">
              <c16:uniqueId val="{00000001-F28A-41F5-82EA-5986AA1233A3}"/>
            </c:ext>
          </c:extLst>
        </c:ser>
        <c:dLbls>
          <c:showLegendKey val="0"/>
          <c:showVal val="0"/>
          <c:showCatName val="0"/>
          <c:showSerName val="0"/>
          <c:showPercent val="0"/>
          <c:showBubbleSize val="0"/>
        </c:dLbls>
        <c:axId val="255655152"/>
        <c:axId val="255657392"/>
      </c:scatterChart>
      <c:valAx>
        <c:axId val="255659072"/>
        <c:scaling>
          <c:orientation val="minMax"/>
          <c:min val="3.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Nozzle Expansion Area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8512"/>
        <c:crosses val="autoZero"/>
        <c:crossBetween val="midCat"/>
      </c:valAx>
      <c:valAx>
        <c:axId val="255658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Average Specific Impulse (s)</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9072"/>
        <c:crosses val="autoZero"/>
        <c:crossBetween val="midCat"/>
      </c:valAx>
      <c:valAx>
        <c:axId val="25565739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5152"/>
        <c:crosses val="max"/>
        <c:crossBetween val="midCat"/>
      </c:valAx>
      <c:valAx>
        <c:axId val="255655152"/>
        <c:scaling>
          <c:orientation val="minMax"/>
        </c:scaling>
        <c:delete val="1"/>
        <c:axPos val="b"/>
        <c:numFmt formatCode="0.00" sourceLinked="1"/>
        <c:majorTickMark val="out"/>
        <c:minorTickMark val="none"/>
        <c:tickLblPos val="nextTo"/>
        <c:crossAx val="255657392"/>
        <c:crosses val="autoZero"/>
        <c:crossBetween val="midCat"/>
      </c:valAx>
      <c:spPr>
        <a:noFill/>
        <a:ln>
          <a:noFill/>
        </a:ln>
        <a:effectLst/>
      </c:spPr>
    </c:plotArea>
    <c:legend>
      <c:legendPos val="r"/>
      <c:layout>
        <c:manualLayout>
          <c:xMode val="edge"/>
          <c:yMode val="edge"/>
          <c:x val="0.60976758126798725"/>
          <c:y val="0.12010509770061488"/>
          <c:w val="0.28093828904821"/>
          <c:h val="0.12703747568188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Specific Impulse of</a:t>
            </a:r>
            <a:r>
              <a:rPr lang="en-US" baseline="0"/>
              <a:t> a Parafin/N20</a:t>
            </a:r>
            <a:r>
              <a:rPr lang="en-US"/>
              <a:t> rocket</a:t>
            </a:r>
            <a:r>
              <a:rPr lang="en-US" baseline="0"/>
              <a:t> designed for operation 3km above sea level with 2.4 MPa chamber pressure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Specific Impulse </c:v>
          </c:tx>
          <c:spPr>
            <a:ln w="19050" cap="rnd">
              <a:solidFill>
                <a:schemeClr val="accent1"/>
              </a:solidFill>
              <a:round/>
            </a:ln>
            <a:effectLst/>
          </c:spPr>
          <c:marker>
            <c:symbol val="none"/>
          </c:marker>
          <c:xVal>
            <c:numRef>
              <c:f>'OF Trade for Record Breaker'!$H$3:$H$31</c:f>
              <c:numCache>
                <c:formatCode>0.00</c:formatCode>
                <c:ptCount val="29"/>
                <c:pt idx="0">
                  <c:v>3.25</c:v>
                </c:pt>
                <c:pt idx="1">
                  <c:v>3.5</c:v>
                </c:pt>
                <c:pt idx="2">
                  <c:v>3.75</c:v>
                </c:pt>
                <c:pt idx="3">
                  <c:v>4</c:v>
                </c:pt>
                <c:pt idx="4">
                  <c:v>4.25</c:v>
                </c:pt>
                <c:pt idx="5">
                  <c:v>4.5</c:v>
                </c:pt>
                <c:pt idx="6">
                  <c:v>4.75</c:v>
                </c:pt>
                <c:pt idx="7">
                  <c:v>5</c:v>
                </c:pt>
                <c:pt idx="8">
                  <c:v>5.25</c:v>
                </c:pt>
                <c:pt idx="9">
                  <c:v>5.5</c:v>
                </c:pt>
                <c:pt idx="10">
                  <c:v>5.75</c:v>
                </c:pt>
                <c:pt idx="11">
                  <c:v>6</c:v>
                </c:pt>
                <c:pt idx="12">
                  <c:v>6.25</c:v>
                </c:pt>
                <c:pt idx="13">
                  <c:v>6.5</c:v>
                </c:pt>
                <c:pt idx="14">
                  <c:v>6.75</c:v>
                </c:pt>
                <c:pt idx="15">
                  <c:v>7</c:v>
                </c:pt>
                <c:pt idx="16">
                  <c:v>7.25</c:v>
                </c:pt>
                <c:pt idx="17">
                  <c:v>7.5</c:v>
                </c:pt>
                <c:pt idx="18">
                  <c:v>7.75</c:v>
                </c:pt>
                <c:pt idx="19">
                  <c:v>8</c:v>
                </c:pt>
                <c:pt idx="20">
                  <c:v>8.25</c:v>
                </c:pt>
                <c:pt idx="21">
                  <c:v>8.5</c:v>
                </c:pt>
                <c:pt idx="22">
                  <c:v>8.75</c:v>
                </c:pt>
                <c:pt idx="23">
                  <c:v>9</c:v>
                </c:pt>
                <c:pt idx="24">
                  <c:v>9.25</c:v>
                </c:pt>
                <c:pt idx="25">
                  <c:v>9.5</c:v>
                </c:pt>
                <c:pt idx="26">
                  <c:v>9.75</c:v>
                </c:pt>
                <c:pt idx="27">
                  <c:v>10</c:v>
                </c:pt>
                <c:pt idx="28">
                  <c:v>10.25</c:v>
                </c:pt>
              </c:numCache>
            </c:numRef>
          </c:xVal>
          <c:yVal>
            <c:numRef>
              <c:f>'OF Trade for Record Breaker'!$P$3:$P$31</c:f>
              <c:numCache>
                <c:formatCode>0</c:formatCode>
                <c:ptCount val="29"/>
                <c:pt idx="0">
                  <c:v>169.27913127564983</c:v>
                </c:pt>
                <c:pt idx="1">
                  <c:v>174.52952363421528</c:v>
                </c:pt>
                <c:pt idx="2">
                  <c:v>179.02124065264539</c:v>
                </c:pt>
                <c:pt idx="3">
                  <c:v>182.89851522823506</c:v>
                </c:pt>
                <c:pt idx="4">
                  <c:v>186.26777470821125</c:v>
                </c:pt>
                <c:pt idx="5">
                  <c:v>189.21427278789966</c:v>
                </c:pt>
                <c:pt idx="6">
                  <c:v>191.80099067938602</c:v>
                </c:pt>
                <c:pt idx="7">
                  <c:v>194.0478434665979</c:v>
                </c:pt>
                <c:pt idx="8">
                  <c:v>196.01153843240712</c:v>
                </c:pt>
                <c:pt idx="9">
                  <c:v>197.68229798021824</c:v>
                </c:pt>
                <c:pt idx="10">
                  <c:v>198.96608594650979</c:v>
                </c:pt>
                <c:pt idx="11">
                  <c:v>199.76375083229891</c:v>
                </c:pt>
                <c:pt idx="12">
                  <c:v>200.55767241198927</c:v>
                </c:pt>
                <c:pt idx="13">
                  <c:v>200.74803771614285</c:v>
                </c:pt>
                <c:pt idx="14">
                  <c:v>201.07159726181621</c:v>
                </c:pt>
                <c:pt idx="15">
                  <c:v>200.80253413784553</c:v>
                </c:pt>
                <c:pt idx="16">
                  <c:v>200.66534200821457</c:v>
                </c:pt>
                <c:pt idx="17">
                  <c:v>200.35505913554741</c:v>
                </c:pt>
                <c:pt idx="18">
                  <c:v>199.95183343697619</c:v>
                </c:pt>
                <c:pt idx="19">
                  <c:v>199.51209687573595</c:v>
                </c:pt>
                <c:pt idx="20">
                  <c:v>199.02990640978686</c:v>
                </c:pt>
                <c:pt idx="21">
                  <c:v>198.51919646464765</c:v>
                </c:pt>
                <c:pt idx="22">
                  <c:v>197.9904429506451</c:v>
                </c:pt>
                <c:pt idx="23">
                  <c:v>197.45346785152185</c:v>
                </c:pt>
                <c:pt idx="24">
                  <c:v>196.90034247090136</c:v>
                </c:pt>
                <c:pt idx="25">
                  <c:v>196.35162743614677</c:v>
                </c:pt>
                <c:pt idx="26">
                  <c:v>195.80511807403303</c:v>
                </c:pt>
                <c:pt idx="27">
                  <c:v>195.25198595623343</c:v>
                </c:pt>
                <c:pt idx="28">
                  <c:v>194.69741681266967</c:v>
                </c:pt>
              </c:numCache>
            </c:numRef>
          </c:yVal>
          <c:smooth val="1"/>
          <c:extLst>
            <c:ext xmlns:c16="http://schemas.microsoft.com/office/drawing/2014/chart" uri="{C3380CC4-5D6E-409C-BE32-E72D297353CC}">
              <c16:uniqueId val="{00000000-B688-4CBA-B197-1510789910CE}"/>
            </c:ext>
          </c:extLst>
        </c:ser>
        <c:dLbls>
          <c:showLegendKey val="0"/>
          <c:showVal val="0"/>
          <c:showCatName val="0"/>
          <c:showSerName val="0"/>
          <c:showPercent val="0"/>
          <c:showBubbleSize val="0"/>
        </c:dLbls>
        <c:axId val="258516560"/>
        <c:axId val="258518240"/>
      </c:scatterChart>
      <c:valAx>
        <c:axId val="2585165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OF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518240"/>
        <c:crosses val="autoZero"/>
        <c:crossBetween val="midCat"/>
      </c:valAx>
      <c:valAx>
        <c:axId val="25851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Specific Impulse (s)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516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Performance of scaled</a:t>
            </a:r>
            <a:r>
              <a:rPr lang="en-CA" baseline="0"/>
              <a:t> up versions of Deliverance  made of NPS 5,6, and 8 pipes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Original Deliverance Design</c:v>
          </c:tx>
          <c:spPr>
            <a:ln w="25400" cap="rnd">
              <a:noFill/>
              <a:round/>
            </a:ln>
            <a:effectLst/>
          </c:spPr>
          <c:marker>
            <c:symbol val="circle"/>
            <c:size val="5"/>
            <c:spPr>
              <a:solidFill>
                <a:schemeClr val="accent1"/>
              </a:solidFill>
              <a:ln w="9525">
                <a:solidFill>
                  <a:schemeClr val="accent1"/>
                </a:solidFill>
              </a:ln>
              <a:effectLst/>
            </c:spPr>
          </c:marker>
          <c:xVal>
            <c:numRef>
              <c:f>(Results!$C$32,Results!$E$32,Results!$G$32)</c:f>
              <c:numCache>
                <c:formatCode>0.00</c:formatCode>
                <c:ptCount val="3"/>
                <c:pt idx="0">
                  <c:v>28</c:v>
                </c:pt>
                <c:pt idx="1">
                  <c:v>37</c:v>
                </c:pt>
                <c:pt idx="2">
                  <c:v>54</c:v>
                </c:pt>
              </c:numCache>
            </c:numRef>
          </c:xVal>
          <c:yVal>
            <c:numRef>
              <c:f>(Results!$C$20,Results!$E$20,Results!$G$20)</c:f>
              <c:numCache>
                <c:formatCode>0.00</c:formatCode>
                <c:ptCount val="3"/>
                <c:pt idx="0">
                  <c:v>7.3</c:v>
                </c:pt>
                <c:pt idx="1">
                  <c:v>11.2</c:v>
                </c:pt>
                <c:pt idx="2">
                  <c:v>12.2</c:v>
                </c:pt>
              </c:numCache>
            </c:numRef>
          </c:yVal>
          <c:smooth val="0"/>
          <c:extLst>
            <c:ext xmlns:c16="http://schemas.microsoft.com/office/drawing/2014/chart" uri="{C3380CC4-5D6E-409C-BE32-E72D297353CC}">
              <c16:uniqueId val="{00000000-C014-44C3-8638-4C44FF5F47FF}"/>
            </c:ext>
          </c:extLst>
        </c:ser>
        <c:ser>
          <c:idx val="1"/>
          <c:order val="1"/>
          <c:tx>
            <c:v>Proposed New Inline Design</c:v>
          </c:tx>
          <c:spPr>
            <a:ln w="25400" cap="rnd">
              <a:noFill/>
              <a:round/>
            </a:ln>
            <a:effectLst/>
          </c:spPr>
          <c:marker>
            <c:symbol val="circle"/>
            <c:size val="5"/>
            <c:spPr>
              <a:solidFill>
                <a:schemeClr val="accent2"/>
              </a:solidFill>
              <a:ln w="9525">
                <a:solidFill>
                  <a:schemeClr val="accent2"/>
                </a:solidFill>
              </a:ln>
              <a:effectLst/>
            </c:spPr>
          </c:marker>
          <c:xVal>
            <c:numRef>
              <c:f>(Results!$D$32,Results!$F$32)</c:f>
              <c:numCache>
                <c:formatCode>0.00</c:formatCode>
                <c:ptCount val="2"/>
                <c:pt idx="0">
                  <c:v>36</c:v>
                </c:pt>
                <c:pt idx="1">
                  <c:v>48</c:v>
                </c:pt>
              </c:numCache>
            </c:numRef>
          </c:xVal>
          <c:yVal>
            <c:numRef>
              <c:f>(Results!$D$20,Results!$F$20)</c:f>
              <c:numCache>
                <c:formatCode>0.00</c:formatCode>
                <c:ptCount val="2"/>
                <c:pt idx="0">
                  <c:v>11.9</c:v>
                </c:pt>
                <c:pt idx="1">
                  <c:v>16.5</c:v>
                </c:pt>
              </c:numCache>
            </c:numRef>
          </c:yVal>
          <c:smooth val="0"/>
          <c:extLst>
            <c:ext xmlns:c16="http://schemas.microsoft.com/office/drawing/2014/chart" uri="{C3380CC4-5D6E-409C-BE32-E72D297353CC}">
              <c16:uniqueId val="{00000001-C014-44C3-8638-4C44FF5F47FF}"/>
            </c:ext>
          </c:extLst>
        </c:ser>
        <c:dLbls>
          <c:showLegendKey val="0"/>
          <c:showVal val="0"/>
          <c:showCatName val="0"/>
          <c:showSerName val="0"/>
          <c:showPercent val="0"/>
          <c:showBubbleSize val="0"/>
        </c:dLbls>
        <c:axId val="255656832"/>
        <c:axId val="255659632"/>
      </c:scatterChart>
      <c:valAx>
        <c:axId val="2556568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Dry Mass of</a:t>
                </a:r>
                <a:r>
                  <a:rPr lang="en-CA" baseline="0"/>
                  <a:t> each design (kg)</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9632"/>
        <c:crosses val="autoZero"/>
        <c:crossBetween val="midCat"/>
      </c:valAx>
      <c:valAx>
        <c:axId val="255659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Apogee (km)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683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4.jpg"/><Relationship Id="rId7" Type="http://schemas.openxmlformats.org/officeDocument/2006/relationships/chart" Target="../charts/chart5.xml"/><Relationship Id="rId2" Type="http://schemas.openxmlformats.org/officeDocument/2006/relationships/image" Target="../media/image3.jpg"/><Relationship Id="rId1" Type="http://schemas.openxmlformats.org/officeDocument/2006/relationships/image" Target="../media/image2.jpg"/><Relationship Id="rId6" Type="http://schemas.openxmlformats.org/officeDocument/2006/relationships/image" Target="../media/image7.jpg"/><Relationship Id="rId5" Type="http://schemas.openxmlformats.org/officeDocument/2006/relationships/image" Target="../media/image6.jpg"/><Relationship Id="rId4" Type="http://schemas.openxmlformats.org/officeDocument/2006/relationships/image" Target="../media/image5.jpg"/></Relationships>
</file>

<file path=xl/drawings/drawing1.xml><?xml version="1.0" encoding="utf-8"?>
<xdr:wsDr xmlns:xdr="http://schemas.openxmlformats.org/drawingml/2006/spreadsheetDrawing" xmlns:a="http://schemas.openxmlformats.org/drawingml/2006/main">
  <xdr:twoCellAnchor editAs="oneCell">
    <xdr:from>
      <xdr:col>9</xdr:col>
      <xdr:colOff>11205</xdr:colOff>
      <xdr:row>2</xdr:row>
      <xdr:rowOff>78442</xdr:rowOff>
    </xdr:from>
    <xdr:to>
      <xdr:col>14</xdr:col>
      <xdr:colOff>1012732</xdr:colOff>
      <xdr:row>9</xdr:row>
      <xdr:rowOff>120280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002555" y="659467"/>
          <a:ext cx="5449702" cy="2023038"/>
        </a:xfrm>
        <a:prstGeom prst="rect">
          <a:avLst/>
        </a:prstGeom>
      </xdr:spPr>
    </xdr:pic>
    <xdr:clientData/>
  </xdr:twoCellAnchor>
  <xdr:twoCellAnchor>
    <xdr:from>
      <xdr:col>7</xdr:col>
      <xdr:colOff>6581</xdr:colOff>
      <xdr:row>43</xdr:row>
      <xdr:rowOff>4065</xdr:rowOff>
    </xdr:from>
    <xdr:to>
      <xdr:col>13</xdr:col>
      <xdr:colOff>201706</xdr:colOff>
      <xdr:row>60</xdr:row>
      <xdr:rowOff>98771</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11205</xdr:colOff>
      <xdr:row>2</xdr:row>
      <xdr:rowOff>78442</xdr:rowOff>
    </xdr:from>
    <xdr:to>
      <xdr:col>14</xdr:col>
      <xdr:colOff>1012732</xdr:colOff>
      <xdr:row>9</xdr:row>
      <xdr:rowOff>120280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014881" y="661148"/>
          <a:ext cx="5390030" cy="2025279"/>
        </a:xfrm>
        <a:prstGeom prst="rect">
          <a:avLst/>
        </a:prstGeom>
      </xdr:spPr>
    </xdr:pic>
    <xdr:clientData/>
  </xdr:twoCellAnchor>
  <xdr:twoCellAnchor>
    <xdr:from>
      <xdr:col>7</xdr:col>
      <xdr:colOff>6581</xdr:colOff>
      <xdr:row>43</xdr:row>
      <xdr:rowOff>4065</xdr:rowOff>
    </xdr:from>
    <xdr:to>
      <xdr:col>13</xdr:col>
      <xdr:colOff>201706</xdr:colOff>
      <xdr:row>60</xdr:row>
      <xdr:rowOff>98771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11205</xdr:colOff>
      <xdr:row>2</xdr:row>
      <xdr:rowOff>78442</xdr:rowOff>
    </xdr:from>
    <xdr:to>
      <xdr:col>14</xdr:col>
      <xdr:colOff>163578</xdr:colOff>
      <xdr:row>9</xdr:row>
      <xdr:rowOff>123585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002555" y="659467"/>
          <a:ext cx="5456846" cy="2023038"/>
        </a:xfrm>
        <a:prstGeom prst="rect">
          <a:avLst/>
        </a:prstGeom>
      </xdr:spPr>
    </xdr:pic>
    <xdr:clientData/>
  </xdr:twoCellAnchor>
  <xdr:twoCellAnchor>
    <xdr:from>
      <xdr:col>7</xdr:col>
      <xdr:colOff>6581</xdr:colOff>
      <xdr:row>44</xdr:row>
      <xdr:rowOff>4065</xdr:rowOff>
    </xdr:from>
    <xdr:to>
      <xdr:col>13</xdr:col>
      <xdr:colOff>201706</xdr:colOff>
      <xdr:row>61</xdr:row>
      <xdr:rowOff>161925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11207</xdr:colOff>
      <xdr:row>30</xdr:row>
      <xdr:rowOff>67235</xdr:rowOff>
    </xdr:from>
    <xdr:to>
      <xdr:col>22</xdr:col>
      <xdr:colOff>134471</xdr:colOff>
      <xdr:row>32</xdr:row>
      <xdr:rowOff>11205</xdr:rowOff>
    </xdr:to>
    <xdr:sp macro="[0]!Goal_seek" textlink="">
      <xdr:nvSpPr>
        <xdr:cNvPr id="4" name="Rounded Rectangle 3">
          <a:extLst>
            <a:ext uri="{FF2B5EF4-FFF2-40B4-BE49-F238E27FC236}">
              <a16:creationId xmlns:a16="http://schemas.microsoft.com/office/drawing/2014/main" id="{00000000-0008-0000-0200-000004000000}"/>
            </a:ext>
          </a:extLst>
        </xdr:cNvPr>
        <xdr:cNvSpPr/>
      </xdr:nvSpPr>
      <xdr:spPr>
        <a:xfrm>
          <a:off x="18478501" y="7171764"/>
          <a:ext cx="2117911" cy="3922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Goal</a:t>
          </a:r>
          <a:r>
            <a:rPr lang="en-US" sz="1600" baseline="0"/>
            <a:t> Seek Outer Diam.</a:t>
          </a:r>
          <a:endParaRPr lang="en-US"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22086</xdr:colOff>
      <xdr:row>18</xdr:row>
      <xdr:rowOff>166687</xdr:rowOff>
    </xdr:from>
    <xdr:to>
      <xdr:col>6</xdr:col>
      <xdr:colOff>117336</xdr:colOff>
      <xdr:row>33</xdr:row>
      <xdr:rowOff>52387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16</xdr:col>
      <xdr:colOff>481853</xdr:colOff>
      <xdr:row>56</xdr:row>
      <xdr:rowOff>11203</xdr:rowOff>
    </xdr:from>
    <xdr:ext cx="5334000" cy="4000500"/>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35453" y="10679203"/>
          <a:ext cx="5334000" cy="4000500"/>
        </a:xfrm>
        <a:prstGeom prst="rect">
          <a:avLst/>
        </a:prstGeom>
      </xdr:spPr>
    </xdr:pic>
    <xdr:clientData/>
  </xdr:oneCellAnchor>
  <xdr:oneCellAnchor>
    <xdr:from>
      <xdr:col>7</xdr:col>
      <xdr:colOff>974912</xdr:colOff>
      <xdr:row>35</xdr:row>
      <xdr:rowOff>56027</xdr:rowOff>
    </xdr:from>
    <xdr:ext cx="5334000" cy="4000500"/>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880162" y="6723527"/>
          <a:ext cx="5334000" cy="4000500"/>
        </a:xfrm>
        <a:prstGeom prst="rect">
          <a:avLst/>
        </a:prstGeom>
      </xdr:spPr>
    </xdr:pic>
    <xdr:clientData/>
  </xdr:oneCellAnchor>
  <xdr:oneCellAnchor>
    <xdr:from>
      <xdr:col>7</xdr:col>
      <xdr:colOff>974911</xdr:colOff>
      <xdr:row>56</xdr:row>
      <xdr:rowOff>67236</xdr:rowOff>
    </xdr:from>
    <xdr:ext cx="5334000" cy="4000500"/>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80161" y="10735236"/>
          <a:ext cx="5334000" cy="4000500"/>
        </a:xfrm>
        <a:prstGeom prst="rect">
          <a:avLst/>
        </a:prstGeom>
      </xdr:spPr>
    </xdr:pic>
    <xdr:clientData/>
  </xdr:oneCellAnchor>
  <xdr:oneCellAnchor>
    <xdr:from>
      <xdr:col>7</xdr:col>
      <xdr:colOff>952499</xdr:colOff>
      <xdr:row>15</xdr:row>
      <xdr:rowOff>112059</xdr:rowOff>
    </xdr:from>
    <xdr:ext cx="5334000" cy="4000500"/>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876799" y="2969559"/>
          <a:ext cx="5334000" cy="4000500"/>
        </a:xfrm>
        <a:prstGeom prst="rect">
          <a:avLst/>
        </a:prstGeom>
      </xdr:spPr>
    </xdr:pic>
    <xdr:clientData/>
  </xdr:oneCellAnchor>
  <xdr:oneCellAnchor>
    <xdr:from>
      <xdr:col>16</xdr:col>
      <xdr:colOff>414618</xdr:colOff>
      <xdr:row>15</xdr:row>
      <xdr:rowOff>156881</xdr:rowOff>
    </xdr:from>
    <xdr:ext cx="5334000" cy="4000500"/>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68218" y="3014381"/>
          <a:ext cx="5334000" cy="4000500"/>
        </a:xfrm>
        <a:prstGeom prst="rect">
          <a:avLst/>
        </a:prstGeom>
      </xdr:spPr>
    </xdr:pic>
    <xdr:clientData/>
  </xdr:oneCellAnchor>
  <xdr:oneCellAnchor>
    <xdr:from>
      <xdr:col>16</xdr:col>
      <xdr:colOff>414619</xdr:colOff>
      <xdr:row>35</xdr:row>
      <xdr:rowOff>44822</xdr:rowOff>
    </xdr:from>
    <xdr:ext cx="5334000" cy="4000500"/>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68219" y="6712322"/>
          <a:ext cx="5334000" cy="4000500"/>
        </a:xfrm>
        <a:prstGeom prst="rect">
          <a:avLst/>
        </a:prstGeom>
      </xdr:spPr>
    </xdr:pic>
    <xdr:clientData/>
  </xdr:oneCellAnchor>
  <xdr:twoCellAnchor>
    <xdr:from>
      <xdr:col>1</xdr:col>
      <xdr:colOff>1042147</xdr:colOff>
      <xdr:row>43</xdr:row>
      <xdr:rowOff>73959</xdr:rowOff>
    </xdr:from>
    <xdr:to>
      <xdr:col>5</xdr:col>
      <xdr:colOff>257735</xdr:colOff>
      <xdr:row>57</xdr:row>
      <xdr:rowOff>150159</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cob/Documents/CoolProp.sources/wrappers/Excel/Cool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 val="CoolProp"/>
    </sheetNames>
    <definedNames>
      <definedName name="PhaseSI"/>
      <definedName name="PropsSI"/>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grc.nasa.gov/www/CEAWeb/"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352"/>
  <sheetViews>
    <sheetView topLeftCell="A42" zoomScale="70" zoomScaleNormal="70" workbookViewId="0">
      <selection activeCell="N44" sqref="N44"/>
    </sheetView>
  </sheetViews>
  <sheetFormatPr defaultRowHeight="14.5" x14ac:dyDescent="0.35"/>
  <cols>
    <col min="1" max="1" width="2.1796875" customWidth="1"/>
    <col min="2" max="5" width="13.81640625" customWidth="1"/>
    <col min="6" max="6" width="11.1796875" customWidth="1"/>
    <col min="7" max="7" width="12.1796875" customWidth="1"/>
    <col min="8" max="8" width="10.1796875" customWidth="1"/>
    <col min="9" max="10" width="13.81640625" customWidth="1"/>
    <col min="11" max="11" width="16.54296875" customWidth="1"/>
    <col min="12" max="12" width="5.453125" customWidth="1"/>
    <col min="13" max="15" width="15.453125" customWidth="1"/>
    <col min="16" max="16" width="7.7265625" customWidth="1"/>
    <col min="17" max="17" width="25.7265625" customWidth="1"/>
    <col min="18" max="18" width="16.453125" customWidth="1"/>
    <col min="19" max="19" width="10.453125" customWidth="1"/>
    <col min="20" max="20" width="10.26953125" customWidth="1"/>
    <col min="21" max="21" width="13.81640625" customWidth="1"/>
    <col min="22" max="22" width="5.81640625" customWidth="1"/>
    <col min="27" max="27" width="3.54296875" customWidth="1"/>
    <col min="28" max="28" width="9.1796875" customWidth="1"/>
    <col min="29" max="29" width="3.54296875" customWidth="1"/>
  </cols>
  <sheetData>
    <row r="1" spans="2:31" ht="11.25" customHeight="1" x14ac:dyDescent="0.35"/>
    <row r="2" spans="2:31" ht="34.5" customHeight="1" thickBot="1" x14ac:dyDescent="0.4">
      <c r="B2" s="159" t="s">
        <v>0</v>
      </c>
      <c r="C2" s="159"/>
      <c r="D2" s="159"/>
      <c r="E2" s="159"/>
      <c r="F2" s="159"/>
      <c r="G2" s="159"/>
      <c r="H2" s="159"/>
      <c r="I2" s="4"/>
      <c r="J2" s="160" t="s">
        <v>3</v>
      </c>
      <c r="K2" s="160"/>
      <c r="L2" s="160"/>
      <c r="M2" s="160"/>
    </row>
    <row r="3" spans="2:31" ht="15" customHeight="1" thickBot="1" x14ac:dyDescent="0.4">
      <c r="B3" s="4"/>
      <c r="C3" s="3"/>
      <c r="D3" s="3"/>
      <c r="E3" s="3"/>
      <c r="F3" s="3"/>
      <c r="G3" s="3"/>
      <c r="H3" s="3"/>
      <c r="I3" s="4"/>
      <c r="J3" s="161"/>
      <c r="K3" s="162"/>
      <c r="L3" s="162"/>
      <c r="M3" s="162"/>
      <c r="N3" s="162"/>
      <c r="O3" s="162"/>
      <c r="P3" s="163"/>
      <c r="Q3" s="4"/>
      <c r="R3" s="4"/>
      <c r="S3" s="4"/>
    </row>
    <row r="4" spans="2:31" ht="40.5" customHeight="1" x14ac:dyDescent="0.35">
      <c r="B4" s="170" t="s">
        <v>150</v>
      </c>
      <c r="C4" s="171"/>
      <c r="D4" s="171"/>
      <c r="E4" s="171"/>
      <c r="F4" s="171"/>
      <c r="G4" s="171"/>
      <c r="H4" s="172"/>
      <c r="J4" s="164"/>
      <c r="K4" s="165"/>
      <c r="L4" s="165"/>
      <c r="M4" s="165"/>
      <c r="N4" s="165"/>
      <c r="O4" s="165"/>
      <c r="P4" s="166"/>
      <c r="Q4" s="6"/>
      <c r="R4" s="6"/>
      <c r="S4" s="6"/>
      <c r="T4" s="6"/>
      <c r="U4" s="6"/>
    </row>
    <row r="5" spans="2:31" ht="40.5" customHeight="1" thickBot="1" x14ac:dyDescent="0.4">
      <c r="B5" s="173"/>
      <c r="C5" s="174"/>
      <c r="D5" s="174"/>
      <c r="E5" s="174"/>
      <c r="F5" s="174"/>
      <c r="G5" s="174"/>
      <c r="H5" s="175"/>
      <c r="J5" s="164"/>
      <c r="K5" s="165"/>
      <c r="L5" s="165"/>
      <c r="M5" s="165"/>
      <c r="N5" s="165"/>
      <c r="O5" s="165"/>
      <c r="P5" s="166"/>
      <c r="Q5" s="6"/>
      <c r="R5" s="6"/>
      <c r="S5" s="6"/>
      <c r="T5" s="6"/>
      <c r="U5" s="6"/>
    </row>
    <row r="6" spans="2:31" x14ac:dyDescent="0.35">
      <c r="J6" s="164"/>
      <c r="K6" s="165"/>
      <c r="L6" s="165"/>
      <c r="M6" s="165"/>
      <c r="N6" s="165"/>
      <c r="O6" s="165"/>
      <c r="P6" s="166"/>
      <c r="Q6" s="6"/>
      <c r="R6" s="6"/>
      <c r="S6" s="6"/>
      <c r="T6" s="6"/>
      <c r="U6" s="6"/>
    </row>
    <row r="7" spans="2:31" x14ac:dyDescent="0.35">
      <c r="B7" s="176" t="s">
        <v>1</v>
      </c>
      <c r="C7" s="176"/>
      <c r="D7" s="176"/>
      <c r="E7" s="176"/>
      <c r="F7" s="176"/>
      <c r="G7" s="1"/>
      <c r="H7" s="1"/>
      <c r="J7" s="164"/>
      <c r="K7" s="165"/>
      <c r="L7" s="165"/>
      <c r="M7" s="165"/>
      <c r="N7" s="165"/>
      <c r="O7" s="165"/>
      <c r="P7" s="166"/>
      <c r="Q7" s="6"/>
      <c r="R7" s="6"/>
      <c r="S7" s="6"/>
      <c r="T7" s="6"/>
      <c r="U7" s="6"/>
    </row>
    <row r="8" spans="2:31" x14ac:dyDescent="0.35">
      <c r="B8" s="176" t="s">
        <v>2</v>
      </c>
      <c r="C8" s="176"/>
      <c r="D8" s="176"/>
      <c r="E8" s="176"/>
      <c r="F8" s="176"/>
      <c r="G8" s="1"/>
      <c r="H8" s="1"/>
      <c r="J8" s="164"/>
      <c r="K8" s="165"/>
      <c r="L8" s="165"/>
      <c r="M8" s="165"/>
      <c r="N8" s="165"/>
      <c r="O8" s="165"/>
      <c r="P8" s="166"/>
      <c r="Q8" s="6"/>
      <c r="R8" s="6"/>
      <c r="S8" s="6"/>
      <c r="T8" s="6"/>
      <c r="U8" s="6"/>
    </row>
    <row r="9" spans="2:31" ht="15" customHeight="1" x14ac:dyDescent="0.35">
      <c r="B9" s="5" t="s">
        <v>60</v>
      </c>
      <c r="J9" s="164"/>
      <c r="K9" s="165"/>
      <c r="L9" s="165"/>
      <c r="M9" s="165"/>
      <c r="N9" s="165"/>
      <c r="O9" s="165"/>
      <c r="P9" s="166"/>
      <c r="Q9" s="6"/>
      <c r="R9" s="6"/>
      <c r="S9" s="6"/>
      <c r="T9" s="6"/>
      <c r="U9" s="6"/>
    </row>
    <row r="10" spans="2:31" ht="15" customHeight="1" x14ac:dyDescent="0.35">
      <c r="C10" s="46"/>
      <c r="D10" s="177" t="s">
        <v>152</v>
      </c>
      <c r="E10" s="178"/>
      <c r="F10" s="21"/>
      <c r="G10" s="21"/>
      <c r="H10" s="21"/>
      <c r="J10" s="164"/>
      <c r="K10" s="165"/>
      <c r="L10" s="165"/>
      <c r="M10" s="165"/>
      <c r="N10" s="165"/>
      <c r="O10" s="165"/>
      <c r="P10" s="166"/>
      <c r="Q10" s="6"/>
      <c r="R10" s="6"/>
      <c r="S10" s="6"/>
      <c r="T10" s="6"/>
      <c r="U10" s="6"/>
    </row>
    <row r="11" spans="2:31" ht="15" customHeight="1" thickBot="1" x14ac:dyDescent="0.4">
      <c r="C11" s="48"/>
      <c r="D11" s="179" t="s">
        <v>153</v>
      </c>
      <c r="E11" s="180"/>
      <c r="F11" s="22"/>
      <c r="G11" s="22"/>
      <c r="H11" s="22"/>
      <c r="J11" s="167"/>
      <c r="K11" s="168"/>
      <c r="L11" s="168"/>
      <c r="M11" s="168"/>
      <c r="N11" s="168"/>
      <c r="O11" s="168"/>
      <c r="P11" s="169"/>
      <c r="Q11" s="6"/>
      <c r="R11" s="6"/>
      <c r="S11" s="6"/>
      <c r="T11" s="6"/>
      <c r="U11" s="6"/>
    </row>
    <row r="12" spans="2:31" x14ac:dyDescent="0.35">
      <c r="C12" s="61"/>
      <c r="D12" s="149" t="s">
        <v>158</v>
      </c>
      <c r="E12" s="149"/>
      <c r="J12" s="6"/>
      <c r="K12" s="6"/>
      <c r="L12" s="6"/>
      <c r="M12" s="6"/>
      <c r="N12" s="6"/>
      <c r="O12" s="6"/>
      <c r="P12" s="6"/>
      <c r="Q12" s="6"/>
      <c r="R12" s="6"/>
      <c r="S12" s="6"/>
      <c r="T12" s="6"/>
      <c r="U12" s="6"/>
      <c r="AB12" s="4"/>
      <c r="AC12" s="4"/>
      <c r="AD12" s="4"/>
      <c r="AE12" s="4"/>
    </row>
    <row r="13" spans="2:31" x14ac:dyDescent="0.35">
      <c r="J13" s="6"/>
      <c r="K13" s="6"/>
      <c r="L13" s="6"/>
      <c r="M13" s="6"/>
      <c r="N13" s="6"/>
      <c r="O13" s="6"/>
      <c r="P13" s="6"/>
      <c r="Q13" s="6"/>
      <c r="R13" s="6"/>
      <c r="S13" s="6"/>
      <c r="T13" s="6"/>
      <c r="U13" s="6"/>
      <c r="AB13" s="4"/>
      <c r="AC13" s="4"/>
      <c r="AD13" s="4"/>
      <c r="AE13" s="4"/>
    </row>
    <row r="14" spans="2:31" x14ac:dyDescent="0.35">
      <c r="B14" s="5" t="s">
        <v>65</v>
      </c>
      <c r="M14" s="5" t="s">
        <v>109</v>
      </c>
      <c r="AB14" s="4"/>
      <c r="AC14" s="4"/>
      <c r="AD14" s="4"/>
      <c r="AE14" s="4"/>
    </row>
    <row r="15" spans="2:31" ht="15" thickBot="1" x14ac:dyDescent="0.4">
      <c r="AB15" s="4"/>
      <c r="AC15" s="4"/>
      <c r="AD15" s="4"/>
      <c r="AE15" s="4"/>
    </row>
    <row r="16" spans="2:31" ht="18" customHeight="1" x14ac:dyDescent="0.35">
      <c r="B16" s="36"/>
      <c r="C16" s="23"/>
      <c r="D16" s="23"/>
      <c r="E16" s="23"/>
      <c r="F16" s="23"/>
      <c r="G16" s="23"/>
      <c r="H16" s="23"/>
      <c r="I16" s="23"/>
      <c r="J16" s="23"/>
      <c r="K16" s="24"/>
      <c r="M16" s="36"/>
      <c r="N16" s="23"/>
      <c r="O16" s="23"/>
      <c r="P16" s="23"/>
      <c r="Q16" s="23"/>
      <c r="R16" s="23"/>
      <c r="S16" s="23"/>
      <c r="T16" s="23"/>
      <c r="U16" s="23"/>
      <c r="V16" s="23"/>
      <c r="W16" s="23"/>
      <c r="X16" s="23"/>
      <c r="Y16" s="23"/>
      <c r="Z16" s="23"/>
      <c r="AA16" s="24"/>
      <c r="AB16" s="4"/>
      <c r="AC16" s="4"/>
      <c r="AD16" s="4"/>
      <c r="AE16" s="4"/>
    </row>
    <row r="17" spans="2:31" ht="19.5" customHeight="1" x14ac:dyDescent="0.35">
      <c r="B17" s="29" t="s">
        <v>11</v>
      </c>
      <c r="C17" s="4"/>
      <c r="D17" s="4"/>
      <c r="E17" s="4"/>
      <c r="F17" s="4"/>
      <c r="G17" s="4"/>
      <c r="H17" s="4"/>
      <c r="I17" s="4"/>
      <c r="J17" s="4"/>
      <c r="K17" s="26"/>
      <c r="M17" s="29" t="s">
        <v>98</v>
      </c>
      <c r="N17" s="4"/>
      <c r="O17" s="4"/>
      <c r="P17" s="4"/>
      <c r="Q17" s="150" t="s">
        <v>159</v>
      </c>
      <c r="R17" s="151"/>
      <c r="S17" s="151"/>
      <c r="T17" s="151"/>
      <c r="U17" s="151"/>
      <c r="V17" s="151"/>
      <c r="W17" s="151"/>
      <c r="X17" s="151"/>
      <c r="Y17" s="151"/>
      <c r="Z17" s="152"/>
      <c r="AA17" s="26"/>
      <c r="AB17" s="4"/>
      <c r="AC17" s="4"/>
      <c r="AD17" s="4"/>
      <c r="AE17" s="4"/>
    </row>
    <row r="18" spans="2:31" ht="18" customHeight="1" x14ac:dyDescent="0.35">
      <c r="B18" s="25"/>
      <c r="C18" s="4"/>
      <c r="D18" s="4"/>
      <c r="E18" s="4"/>
      <c r="F18" s="4"/>
      <c r="G18" s="30" t="s">
        <v>12</v>
      </c>
      <c r="H18" s="4"/>
      <c r="I18" s="4"/>
      <c r="J18" s="4"/>
      <c r="K18" s="26"/>
      <c r="M18" s="25"/>
      <c r="N18" s="4"/>
      <c r="O18" s="4"/>
      <c r="P18" s="4"/>
      <c r="Q18" s="153"/>
      <c r="R18" s="154"/>
      <c r="S18" s="154"/>
      <c r="T18" s="154"/>
      <c r="U18" s="154"/>
      <c r="V18" s="154"/>
      <c r="W18" s="154"/>
      <c r="X18" s="154"/>
      <c r="Y18" s="154"/>
      <c r="Z18" s="155"/>
      <c r="AA18" s="26"/>
      <c r="AB18" s="4"/>
      <c r="AC18" s="4"/>
      <c r="AD18" s="4"/>
      <c r="AE18" s="4"/>
    </row>
    <row r="19" spans="2:31" ht="18" customHeight="1" x14ac:dyDescent="0.35">
      <c r="B19" s="25" t="s">
        <v>4</v>
      </c>
      <c r="C19" s="51">
        <f>CONVERT(23000, "ft", "m")</f>
        <v>7010.4</v>
      </c>
      <c r="D19" s="27" t="s">
        <v>25</v>
      </c>
      <c r="E19" s="4"/>
      <c r="F19" s="4"/>
      <c r="G19" s="4"/>
      <c r="H19" s="4"/>
      <c r="I19" s="4"/>
      <c r="J19" s="4"/>
      <c r="K19" s="26"/>
      <c r="M19" s="25" t="s">
        <v>76</v>
      </c>
      <c r="N19" s="50">
        <f>MAX(E46:E226)</f>
        <v>180.96695502693882</v>
      </c>
      <c r="O19" s="27"/>
      <c r="P19" s="4"/>
      <c r="Q19" s="156"/>
      <c r="R19" s="157"/>
      <c r="S19" s="157"/>
      <c r="T19" s="157"/>
      <c r="U19" s="157"/>
      <c r="V19" s="157"/>
      <c r="W19" s="157"/>
      <c r="X19" s="157"/>
      <c r="Y19" s="157"/>
      <c r="Z19" s="158"/>
      <c r="AA19" s="26"/>
      <c r="AB19" s="4"/>
      <c r="AC19" s="4"/>
      <c r="AD19" s="4"/>
      <c r="AE19" s="4"/>
    </row>
    <row r="20" spans="2:31" ht="18" customHeight="1" x14ac:dyDescent="0.45">
      <c r="B20" s="25" t="s">
        <v>13</v>
      </c>
      <c r="C20" s="53">
        <v>194.61660765400714</v>
      </c>
      <c r="D20" s="27" t="s">
        <v>26</v>
      </c>
      <c r="E20" s="4"/>
      <c r="F20" s="4"/>
      <c r="G20" s="4" t="s">
        <v>6</v>
      </c>
      <c r="H20" s="13">
        <f>CONVERT(350,"psi","Pa")/1000</f>
        <v>2413.165052608927</v>
      </c>
      <c r="I20" s="27" t="s">
        <v>30</v>
      </c>
      <c r="J20" s="4"/>
      <c r="K20" s="26"/>
      <c r="M20" s="25"/>
      <c r="N20" s="4"/>
      <c r="O20" s="4"/>
      <c r="P20" s="4"/>
      <c r="Q20" s="4"/>
      <c r="R20" s="4"/>
      <c r="S20" s="4"/>
      <c r="T20" s="4"/>
      <c r="U20" s="4"/>
      <c r="V20" s="4"/>
      <c r="W20" s="4"/>
      <c r="X20" s="4"/>
      <c r="Y20" s="4"/>
      <c r="Z20" s="4"/>
      <c r="AA20" s="26"/>
      <c r="AB20" s="4"/>
      <c r="AC20" s="4"/>
      <c r="AD20" s="4"/>
      <c r="AE20" s="4"/>
    </row>
    <row r="21" spans="2:31" ht="18" customHeight="1" x14ac:dyDescent="0.45">
      <c r="B21" s="25" t="s">
        <v>17</v>
      </c>
      <c r="C21" s="43">
        <v>1300</v>
      </c>
      <c r="D21" s="27" t="s">
        <v>27</v>
      </c>
      <c r="E21" s="4"/>
      <c r="F21" s="4"/>
      <c r="G21" s="4" t="s">
        <v>10</v>
      </c>
      <c r="H21" s="51">
        <f>CONVERT(580,"psi","Pa")/1000</f>
        <v>3998.9592300376498</v>
      </c>
      <c r="I21" s="27" t="s">
        <v>35</v>
      </c>
      <c r="J21" s="4"/>
      <c r="K21" s="26"/>
      <c r="M21" s="29" t="s">
        <v>66</v>
      </c>
      <c r="N21" s="4"/>
      <c r="O21" s="4"/>
      <c r="P21" s="4"/>
      <c r="Q21" s="30" t="s">
        <v>149</v>
      </c>
      <c r="R21" s="4"/>
      <c r="S21" s="4"/>
      <c r="T21" s="4"/>
      <c r="U21" s="4"/>
      <c r="V21" s="4"/>
      <c r="W21" s="4"/>
      <c r="X21" s="27"/>
      <c r="Y21" s="4"/>
      <c r="Z21" s="4"/>
      <c r="AA21" s="26"/>
      <c r="AB21" s="4"/>
      <c r="AC21" s="4"/>
      <c r="AD21" s="4"/>
      <c r="AE21" s="4"/>
    </row>
    <row r="22" spans="2:31" ht="18" customHeight="1" x14ac:dyDescent="0.35">
      <c r="B22" s="28" t="s">
        <v>23</v>
      </c>
      <c r="C22" s="50">
        <f>SQRT(2*9.81*(C19 - C21)) + C20</f>
        <v>529.33745851334629</v>
      </c>
      <c r="D22" s="27" t="s">
        <v>28</v>
      </c>
      <c r="E22" s="4"/>
      <c r="F22" s="4"/>
      <c r="G22" s="31" t="s">
        <v>7</v>
      </c>
      <c r="H22" s="52">
        <v>3500</v>
      </c>
      <c r="I22" s="27" t="s">
        <v>31</v>
      </c>
      <c r="J22" s="4"/>
      <c r="K22" s="26"/>
      <c r="M22" s="25"/>
      <c r="N22" s="4"/>
      <c r="P22" s="4"/>
      <c r="Q22" s="4"/>
      <c r="R22" s="4"/>
      <c r="S22" s="4"/>
      <c r="T22" s="4"/>
      <c r="U22" s="4"/>
      <c r="V22" s="4"/>
      <c r="W22" s="4"/>
      <c r="X22" s="4"/>
      <c r="Y22" s="4"/>
      <c r="Z22" s="4"/>
      <c r="AA22" s="26"/>
      <c r="AB22" s="4"/>
      <c r="AC22" s="4"/>
      <c r="AD22" s="4"/>
      <c r="AE22" s="4"/>
    </row>
    <row r="23" spans="2:31" ht="18" customHeight="1" x14ac:dyDescent="0.45">
      <c r="B23" s="25"/>
      <c r="C23" s="4"/>
      <c r="D23" s="4"/>
      <c r="E23" s="4"/>
      <c r="F23" s="4"/>
      <c r="G23" s="4"/>
      <c r="H23" s="4"/>
      <c r="I23" s="4"/>
      <c r="J23" s="4"/>
      <c r="K23" s="26"/>
      <c r="M23" s="25" t="s">
        <v>67</v>
      </c>
      <c r="N23" s="12">
        <v>28.85</v>
      </c>
      <c r="O23" s="27" t="s">
        <v>189</v>
      </c>
      <c r="P23" s="4"/>
      <c r="Q23" s="4"/>
      <c r="R23" s="37" t="s">
        <v>96</v>
      </c>
      <c r="S23" s="37"/>
      <c r="T23" s="37"/>
      <c r="U23" s="37"/>
      <c r="V23" s="37"/>
      <c r="W23" s="37"/>
      <c r="X23" s="37"/>
      <c r="Y23" s="37"/>
      <c r="Z23" s="37"/>
      <c r="AA23" s="26"/>
      <c r="AB23" s="4"/>
      <c r="AC23" s="4"/>
      <c r="AD23" s="4"/>
      <c r="AE23" s="4"/>
    </row>
    <row r="24" spans="2:31" ht="18" customHeight="1" x14ac:dyDescent="0.45">
      <c r="B24" s="29" t="s">
        <v>14</v>
      </c>
      <c r="C24" s="4"/>
      <c r="D24" s="4"/>
      <c r="E24" s="4"/>
      <c r="F24" s="4"/>
      <c r="G24" s="30" t="s">
        <v>55</v>
      </c>
      <c r="H24" s="4"/>
      <c r="I24" s="4"/>
      <c r="J24" s="4"/>
      <c r="K24" s="26"/>
      <c r="M24" s="25" t="s">
        <v>68</v>
      </c>
      <c r="N24" s="14">
        <f>N23*EXP(C22/N19/9.81)</f>
        <v>38.872235871471588</v>
      </c>
      <c r="O24" s="27" t="s">
        <v>87</v>
      </c>
      <c r="P24" s="4"/>
      <c r="Q24" s="4" t="s">
        <v>77</v>
      </c>
      <c r="R24" s="56">
        <v>602.40690301221741</v>
      </c>
      <c r="S24" s="27" t="s">
        <v>78</v>
      </c>
      <c r="T24" s="27"/>
      <c r="U24" s="27"/>
      <c r="V24" s="27"/>
      <c r="W24" s="27"/>
      <c r="X24" s="4"/>
      <c r="Y24" s="4"/>
      <c r="Z24" s="4"/>
      <c r="AA24" s="26"/>
      <c r="AB24" s="4"/>
      <c r="AC24" s="4"/>
      <c r="AD24" s="4"/>
      <c r="AE24" s="4"/>
    </row>
    <row r="25" spans="2:31" ht="18" customHeight="1" x14ac:dyDescent="0.45">
      <c r="B25" s="25"/>
      <c r="C25" s="4"/>
      <c r="D25" s="4"/>
      <c r="E25" s="4"/>
      <c r="F25" s="4"/>
      <c r="G25" s="4"/>
      <c r="H25" s="4"/>
      <c r="I25" s="4"/>
      <c r="J25" s="4"/>
      <c r="K25" s="26"/>
      <c r="M25" s="25" t="s">
        <v>69</v>
      </c>
      <c r="N25" s="14">
        <f>N24-N23</f>
        <v>10.022235871471587</v>
      </c>
      <c r="O25" s="27" t="s">
        <v>88</v>
      </c>
      <c r="P25" s="4"/>
      <c r="Q25" s="4" t="s">
        <v>79</v>
      </c>
      <c r="R25" s="43">
        <v>1</v>
      </c>
      <c r="S25" s="4"/>
      <c r="T25" s="4"/>
      <c r="U25" s="4"/>
      <c r="V25" s="4"/>
      <c r="W25" s="4"/>
      <c r="X25" s="4"/>
      <c r="Y25" s="4"/>
      <c r="Z25" s="4"/>
      <c r="AA25" s="26"/>
      <c r="AB25" s="4"/>
      <c r="AC25" s="4"/>
      <c r="AD25" s="4"/>
      <c r="AE25" s="4"/>
    </row>
    <row r="26" spans="2:31" ht="18" customHeight="1" x14ac:dyDescent="0.45">
      <c r="B26" s="25" t="s">
        <v>15</v>
      </c>
      <c r="C26" s="9">
        <v>1400</v>
      </c>
      <c r="D26" s="44" t="s">
        <v>29</v>
      </c>
      <c r="E26" s="10"/>
      <c r="F26" s="4"/>
      <c r="G26" s="4" t="s">
        <v>50</v>
      </c>
      <c r="H26" s="9">
        <v>950</v>
      </c>
      <c r="I26" s="27" t="s">
        <v>51</v>
      </c>
      <c r="J26" s="4"/>
      <c r="K26" s="26"/>
      <c r="M26" s="25" t="s">
        <v>70</v>
      </c>
      <c r="N26" s="47">
        <f>N25/(1+C32)</f>
        <v>1.8222247039039248</v>
      </c>
      <c r="O26" s="27" t="s">
        <v>89</v>
      </c>
      <c r="P26" s="4"/>
      <c r="Q26" s="4" t="s">
        <v>80</v>
      </c>
      <c r="R26" s="45">
        <f>N31/R25/R24</f>
        <v>2.6776859663048135E-3</v>
      </c>
      <c r="S26" s="38">
        <f>R26*100^2</f>
        <v>26.776859663048135</v>
      </c>
      <c r="T26" s="39" t="s">
        <v>164</v>
      </c>
      <c r="U26" s="4"/>
      <c r="V26" s="4"/>
      <c r="W26" s="4"/>
      <c r="X26" s="4"/>
      <c r="Y26" s="4"/>
      <c r="Z26" s="4"/>
      <c r="AA26" s="26"/>
      <c r="AB26" s="4"/>
      <c r="AC26" s="4"/>
      <c r="AD26" s="4"/>
      <c r="AE26" s="4"/>
    </row>
    <row r="27" spans="2:31" ht="18" customHeight="1" x14ac:dyDescent="0.45">
      <c r="B27" s="25" t="s">
        <v>16</v>
      </c>
      <c r="C27" s="14">
        <f>101.325*(1 - 0.0065*C26/288.16)^(-9.81/-0.0065/287)</f>
        <v>85.591689154217477</v>
      </c>
      <c r="D27" s="27" t="s">
        <v>33</v>
      </c>
      <c r="E27" s="4"/>
      <c r="F27" s="4"/>
      <c r="G27" s="4" t="s">
        <v>54</v>
      </c>
      <c r="H27" s="9">
        <v>1.55E-4</v>
      </c>
      <c r="I27" s="27" t="s">
        <v>56</v>
      </c>
      <c r="J27" s="4"/>
      <c r="K27" s="26"/>
      <c r="M27" s="25" t="s">
        <v>71</v>
      </c>
      <c r="N27" s="55">
        <f>N25-N26</f>
        <v>8.2000111675676628</v>
      </c>
      <c r="O27" s="27" t="s">
        <v>90</v>
      </c>
      <c r="P27" s="4"/>
      <c r="Q27" s="4" t="s">
        <v>82</v>
      </c>
      <c r="R27" s="49">
        <f>2*SQRT(R26/PI())</f>
        <v>5.8389516701901852E-2</v>
      </c>
      <c r="S27" s="38">
        <f>R27*100</f>
        <v>5.8389516701901849</v>
      </c>
      <c r="T27" s="39" t="s">
        <v>83</v>
      </c>
      <c r="U27" s="40">
        <f>CONVERT(R27, "m", "in")</f>
        <v>2.2987998701536161</v>
      </c>
      <c r="V27" s="4" t="s">
        <v>81</v>
      </c>
      <c r="W27" s="4"/>
      <c r="X27" s="4"/>
      <c r="Y27" s="4"/>
      <c r="Z27" s="4"/>
      <c r="AA27" s="26"/>
      <c r="AB27" s="4"/>
      <c r="AC27" s="4"/>
      <c r="AD27" s="4"/>
      <c r="AE27" s="4"/>
    </row>
    <row r="28" spans="2:31" ht="18" customHeight="1" x14ac:dyDescent="0.45">
      <c r="B28" s="25" t="s">
        <v>16</v>
      </c>
      <c r="C28" s="14">
        <f>101.325*(1 - 0.0065*2/3*(C26 + C21)/288.16)^(-9.81/-0.0065/287)</f>
        <v>81.480503716381435</v>
      </c>
      <c r="D28" s="27" t="s">
        <v>34</v>
      </c>
      <c r="E28" s="4"/>
      <c r="F28" s="4"/>
      <c r="G28" s="4" t="s">
        <v>53</v>
      </c>
      <c r="H28" s="9">
        <v>0.5</v>
      </c>
      <c r="I28" s="27" t="s">
        <v>57</v>
      </c>
      <c r="J28" s="4"/>
      <c r="K28" s="26"/>
      <c r="M28" s="25" t="s">
        <v>72</v>
      </c>
      <c r="N28" s="45">
        <f>N23/N24</f>
        <v>0.74217495734977967</v>
      </c>
      <c r="O28" s="27" t="s">
        <v>91</v>
      </c>
      <c r="P28" s="4"/>
      <c r="Q28" s="4" t="s">
        <v>84</v>
      </c>
      <c r="R28" s="49">
        <f>(N30/((H26*H27*R24^H28)*PI()*R27))^(1/(0+1))</f>
        <v>0.54069461203767544</v>
      </c>
      <c r="S28" s="38">
        <f>R28*100</f>
        <v>54.069461203767545</v>
      </c>
      <c r="T28" s="39" t="s">
        <v>83</v>
      </c>
      <c r="U28" s="62">
        <f>CONVERT(R28, "m", "in")</f>
        <v>21.287189450302183</v>
      </c>
      <c r="V28" s="4" t="s">
        <v>81</v>
      </c>
      <c r="W28" s="4"/>
      <c r="X28" s="4"/>
      <c r="Y28" s="4"/>
      <c r="Z28" s="4"/>
      <c r="AA28" s="26"/>
      <c r="AB28" s="4"/>
      <c r="AC28" s="4"/>
      <c r="AD28" s="4"/>
      <c r="AE28" s="4"/>
    </row>
    <row r="29" spans="2:31" ht="18" customHeight="1" x14ac:dyDescent="0.45">
      <c r="B29" s="25"/>
      <c r="C29" s="4"/>
      <c r="D29" s="4"/>
      <c r="E29" s="4"/>
      <c r="F29" s="4"/>
      <c r="G29" s="4"/>
      <c r="H29" s="4"/>
      <c r="I29" s="4"/>
      <c r="J29" s="4"/>
      <c r="K29" s="26"/>
      <c r="M29" s="25" t="s">
        <v>73</v>
      </c>
      <c r="N29" s="47">
        <f>H22/N19/9.81</f>
        <v>1.9715135124678391</v>
      </c>
      <c r="O29" s="27" t="s">
        <v>92</v>
      </c>
      <c r="P29" s="4"/>
      <c r="Q29" s="4" t="s">
        <v>85</v>
      </c>
      <c r="R29" s="45">
        <f>SQRT(4*N26/PI()/R28/H26/R25 + R27^2)</f>
        <v>8.9029170984764705E-2</v>
      </c>
      <c r="S29" s="38">
        <f t="shared" ref="S29:S30" si="0">R29*100</f>
        <v>8.9029170984764701</v>
      </c>
      <c r="T29" s="39" t="s">
        <v>83</v>
      </c>
      <c r="U29" s="57">
        <f t="shared" ref="U29:U30" si="1">CONVERT(R29, "m", "in")</f>
        <v>3.5050854718411304</v>
      </c>
      <c r="V29" s="4" t="s">
        <v>81</v>
      </c>
      <c r="W29" s="27" t="s">
        <v>95</v>
      </c>
      <c r="X29" s="4"/>
      <c r="Y29" s="4"/>
      <c r="Z29" s="4"/>
      <c r="AA29" s="26"/>
      <c r="AB29" s="4"/>
      <c r="AC29" s="4"/>
      <c r="AD29" s="4"/>
      <c r="AE29" s="4"/>
    </row>
    <row r="30" spans="2:31" ht="18" customHeight="1" x14ac:dyDescent="0.45">
      <c r="B30" s="29" t="s">
        <v>24</v>
      </c>
      <c r="C30" s="4"/>
      <c r="D30" s="4"/>
      <c r="E30" s="4"/>
      <c r="F30" s="4"/>
      <c r="G30" s="30" t="s">
        <v>61</v>
      </c>
      <c r="H30" s="4"/>
      <c r="I30" s="4"/>
      <c r="J30" s="4"/>
      <c r="K30" s="26"/>
      <c r="M30" s="25" t="s">
        <v>74</v>
      </c>
      <c r="N30" s="45">
        <f>N29/(1 + C32)</f>
        <v>0.35845700226687982</v>
      </c>
      <c r="O30" s="27" t="s">
        <v>93</v>
      </c>
      <c r="P30" s="4"/>
      <c r="Q30" s="4" t="s">
        <v>86</v>
      </c>
      <c r="R30" s="45">
        <f>(R29-R27)/2</f>
        <v>1.5319827141431427E-2</v>
      </c>
      <c r="S30" s="38">
        <f t="shared" si="0"/>
        <v>1.5319827141431426</v>
      </c>
      <c r="T30" s="39" t="s">
        <v>83</v>
      </c>
      <c r="U30" s="41">
        <f t="shared" si="1"/>
        <v>0.60314280084375693</v>
      </c>
      <c r="V30" s="4" t="s">
        <v>81</v>
      </c>
      <c r="W30" s="4"/>
      <c r="X30" s="4"/>
      <c r="Y30" s="4"/>
      <c r="Z30" s="4"/>
      <c r="AA30" s="26"/>
      <c r="AB30" s="4"/>
      <c r="AC30" s="4"/>
      <c r="AD30" s="4"/>
      <c r="AE30" s="4"/>
    </row>
    <row r="31" spans="2:31" ht="18" customHeight="1" x14ac:dyDescent="0.45">
      <c r="B31" s="25"/>
      <c r="C31" s="4"/>
      <c r="D31" s="4"/>
      <c r="E31" s="4"/>
      <c r="F31" s="4"/>
      <c r="G31" s="4"/>
      <c r="H31" s="4"/>
      <c r="J31" s="4"/>
      <c r="K31" s="26"/>
      <c r="M31" s="25" t="s">
        <v>75</v>
      </c>
      <c r="N31" s="54">
        <f>N29-N30</f>
        <v>1.6130565102009593</v>
      </c>
      <c r="O31" s="27" t="s">
        <v>94</v>
      </c>
      <c r="P31" s="4"/>
      <c r="Q31" s="4"/>
      <c r="R31" s="4"/>
      <c r="S31" s="4"/>
      <c r="T31" s="4"/>
      <c r="U31" s="4"/>
      <c r="V31" s="4"/>
      <c r="W31" s="4"/>
      <c r="X31" s="4"/>
      <c r="Y31" s="4"/>
      <c r="Z31" s="4"/>
      <c r="AA31" s="26"/>
      <c r="AB31" s="4"/>
      <c r="AC31" s="4"/>
      <c r="AD31" s="4"/>
      <c r="AE31" s="4"/>
    </row>
    <row r="32" spans="2:31" ht="18" customHeight="1" x14ac:dyDescent="0.35">
      <c r="B32" s="25"/>
      <c r="C32" s="63">
        <v>4.5</v>
      </c>
      <c r="D32" s="27" t="s">
        <v>32</v>
      </c>
      <c r="E32" s="4"/>
      <c r="F32" s="4"/>
      <c r="G32" s="4" t="s">
        <v>62</v>
      </c>
      <c r="H32" s="9">
        <v>2.85</v>
      </c>
      <c r="I32" s="27" t="s">
        <v>63</v>
      </c>
      <c r="J32" s="4"/>
      <c r="K32" s="26"/>
      <c r="M32" s="25"/>
      <c r="N32" s="4"/>
      <c r="O32" s="4"/>
      <c r="P32" s="4"/>
      <c r="Q32" s="4"/>
      <c r="R32" s="4"/>
      <c r="S32" s="4"/>
      <c r="T32" s="4"/>
      <c r="U32" s="4"/>
      <c r="V32" s="4"/>
      <c r="W32" s="4"/>
      <c r="X32" s="4"/>
      <c r="Y32" s="4"/>
      <c r="Z32" s="4"/>
      <c r="AA32" s="26"/>
      <c r="AB32" s="4"/>
      <c r="AC32" s="4"/>
      <c r="AD32" s="4"/>
      <c r="AE32" s="4"/>
    </row>
    <row r="33" spans="2:31" ht="18" customHeight="1" x14ac:dyDescent="0.35">
      <c r="B33" s="28" t="s">
        <v>18</v>
      </c>
      <c r="C33" s="43">
        <v>1.23</v>
      </c>
      <c r="D33" s="27" t="s">
        <v>40</v>
      </c>
      <c r="E33" s="4"/>
      <c r="F33" s="4"/>
      <c r="G33" s="4" t="s">
        <v>143</v>
      </c>
      <c r="H33" s="9">
        <v>141.30000000000001</v>
      </c>
      <c r="I33" s="27" t="s">
        <v>144</v>
      </c>
      <c r="J33" s="4"/>
      <c r="K33" s="26"/>
      <c r="M33" s="29" t="s">
        <v>97</v>
      </c>
      <c r="N33" s="4"/>
      <c r="O33" s="4"/>
      <c r="P33" s="4"/>
      <c r="Q33" s="30" t="s">
        <v>103</v>
      </c>
      <c r="R33" s="4"/>
      <c r="S33" s="4"/>
      <c r="T33" s="4"/>
      <c r="U33" s="4"/>
      <c r="V33" s="4"/>
      <c r="W33" s="4"/>
      <c r="X33" s="4"/>
      <c r="Y33" s="4"/>
      <c r="Z33" s="4"/>
      <c r="AA33" s="26"/>
      <c r="AB33" s="4"/>
      <c r="AC33" s="4"/>
      <c r="AD33" s="4"/>
      <c r="AE33" s="4"/>
    </row>
    <row r="34" spans="2:31" ht="18" customHeight="1" x14ac:dyDescent="0.35">
      <c r="B34" s="28" t="s">
        <v>19</v>
      </c>
      <c r="C34" s="9">
        <v>24.5</v>
      </c>
      <c r="D34" s="27" t="s">
        <v>39</v>
      </c>
      <c r="E34" s="4"/>
      <c r="F34" s="4"/>
      <c r="G34" s="4"/>
      <c r="H34" s="4"/>
      <c r="I34" s="4"/>
      <c r="J34" s="4"/>
      <c r="K34" s="26"/>
      <c r="L34" s="11"/>
      <c r="M34" s="25"/>
      <c r="N34" s="4"/>
      <c r="O34" s="4"/>
      <c r="P34" s="4"/>
      <c r="Q34" s="4"/>
      <c r="R34" s="4"/>
      <c r="S34" s="4"/>
      <c r="T34" s="4"/>
      <c r="U34" s="4"/>
      <c r="V34" s="4"/>
      <c r="W34" s="4"/>
      <c r="X34" s="4"/>
      <c r="Y34" s="4"/>
      <c r="Z34" s="4"/>
      <c r="AA34" s="26"/>
      <c r="AB34" s="4"/>
      <c r="AC34" s="4"/>
      <c r="AD34" s="4"/>
      <c r="AE34" s="4"/>
    </row>
    <row r="35" spans="2:31" ht="18" customHeight="1" x14ac:dyDescent="0.45">
      <c r="B35" s="28" t="s">
        <v>20</v>
      </c>
      <c r="C35" s="9">
        <v>2820</v>
      </c>
      <c r="D35" s="27" t="s">
        <v>38</v>
      </c>
      <c r="E35" s="4"/>
      <c r="F35" s="4" t="s">
        <v>219</v>
      </c>
      <c r="G35" s="4"/>
      <c r="H35" s="27"/>
      <c r="I35" s="27"/>
      <c r="J35" s="27"/>
      <c r="K35" s="32"/>
      <c r="M35" s="25" t="s">
        <v>99</v>
      </c>
      <c r="N35" s="45">
        <f>N29*C39/(H20*1000)</f>
        <v>1.0993337011771967E-3</v>
      </c>
      <c r="O35" s="27" t="s">
        <v>104</v>
      </c>
      <c r="P35" s="4"/>
      <c r="Q35" s="4" t="s">
        <v>99</v>
      </c>
      <c r="R35" s="66">
        <f>PI()*R38^2/4</f>
        <v>1.0653524748024891E-3</v>
      </c>
      <c r="S35" s="27" t="s">
        <v>104</v>
      </c>
      <c r="T35" s="4"/>
      <c r="U35" s="4"/>
      <c r="V35" s="4"/>
      <c r="W35" s="4"/>
      <c r="X35" s="4"/>
      <c r="Y35" s="4"/>
      <c r="Z35" s="4"/>
      <c r="AA35" s="26"/>
      <c r="AB35" s="4"/>
      <c r="AC35" s="4"/>
      <c r="AD35" s="4"/>
      <c r="AE35" s="4"/>
    </row>
    <row r="36" spans="2:31" ht="18" customHeight="1" x14ac:dyDescent="0.45">
      <c r="B36" s="28" t="s">
        <v>8</v>
      </c>
      <c r="C36" s="58">
        <v>0.9</v>
      </c>
      <c r="D36" s="27" t="s">
        <v>36</v>
      </c>
      <c r="E36" s="4"/>
      <c r="F36" s="4"/>
      <c r="G36" s="4"/>
      <c r="H36" s="4"/>
      <c r="I36" s="4"/>
      <c r="J36" s="4"/>
      <c r="K36" s="26"/>
      <c r="M36" s="25" t="s">
        <v>100</v>
      </c>
      <c r="N36" s="45">
        <f>N35*N37</f>
        <v>5.0449873470142133E-3</v>
      </c>
      <c r="O36" s="27" t="s">
        <v>105</v>
      </c>
      <c r="P36" s="4"/>
      <c r="Q36" s="4" t="s">
        <v>100</v>
      </c>
      <c r="R36" s="66">
        <f>PI()*R39^2/4</f>
        <v>5.4347544054950984E-3</v>
      </c>
      <c r="S36" s="27" t="s">
        <v>105</v>
      </c>
      <c r="T36" s="27"/>
      <c r="U36" s="27"/>
      <c r="V36" s="4"/>
      <c r="W36" s="4"/>
      <c r="X36" s="4"/>
      <c r="Y36" s="4"/>
      <c r="Z36" s="4"/>
      <c r="AA36" s="26"/>
      <c r="AB36" s="4"/>
      <c r="AC36" s="4"/>
      <c r="AD36" s="4"/>
      <c r="AE36" s="4"/>
    </row>
    <row r="37" spans="2:31" ht="18" customHeight="1" x14ac:dyDescent="0.35">
      <c r="B37" s="28" t="s">
        <v>9</v>
      </c>
      <c r="C37" s="58">
        <v>0.9</v>
      </c>
      <c r="D37" s="27" t="s">
        <v>37</v>
      </c>
      <c r="E37" s="4"/>
      <c r="F37" s="4"/>
      <c r="G37" s="4"/>
      <c r="H37" s="4"/>
      <c r="I37" s="4"/>
      <c r="J37" s="4"/>
      <c r="K37" s="26"/>
      <c r="M37" s="28" t="s">
        <v>47</v>
      </c>
      <c r="N37" s="45">
        <f>D132</f>
        <v>4.5891318910826646</v>
      </c>
      <c r="O37" s="27" t="s">
        <v>106</v>
      </c>
      <c r="P37" s="4"/>
      <c r="Q37" s="31" t="s">
        <v>47</v>
      </c>
      <c r="R37" s="66">
        <f>R36/R35</f>
        <v>5.1013674197384056</v>
      </c>
      <c r="S37" s="27" t="s">
        <v>106</v>
      </c>
      <c r="T37" s="4"/>
      <c r="U37" s="4"/>
      <c r="V37" s="4"/>
      <c r="W37" s="4"/>
      <c r="X37" s="4"/>
      <c r="Y37" s="4"/>
      <c r="Z37" s="4"/>
      <c r="AA37" s="26"/>
      <c r="AB37" s="4"/>
      <c r="AC37" s="4"/>
      <c r="AD37" s="4"/>
      <c r="AE37" s="4"/>
    </row>
    <row r="38" spans="2:31" ht="18" customHeight="1" x14ac:dyDescent="0.45">
      <c r="B38" s="25" t="s">
        <v>22</v>
      </c>
      <c r="C38" s="14">
        <f>8314/C34</f>
        <v>339.34693877551018</v>
      </c>
      <c r="D38" s="27" t="s">
        <v>41</v>
      </c>
      <c r="E38" s="4"/>
      <c r="F38" s="4"/>
      <c r="G38" s="4"/>
      <c r="H38" s="4"/>
      <c r="I38" s="4"/>
      <c r="J38" s="4"/>
      <c r="K38" s="26"/>
      <c r="M38" s="25" t="s">
        <v>101</v>
      </c>
      <c r="N38" s="60">
        <f>SQRT(N35/PI())*2</f>
        <v>3.7412767088239748E-2</v>
      </c>
      <c r="O38" s="27" t="s">
        <v>107</v>
      </c>
      <c r="P38" s="4"/>
      <c r="Q38" s="4" t="s">
        <v>101</v>
      </c>
      <c r="R38" s="67">
        <f>CONVERT(1.45, "in", "m")</f>
        <v>3.6830000000000002E-2</v>
      </c>
      <c r="S38" s="27" t="s">
        <v>107</v>
      </c>
      <c r="T38" s="4"/>
      <c r="U38" s="4"/>
      <c r="V38" s="4"/>
      <c r="W38" s="4"/>
      <c r="X38" s="4"/>
      <c r="Y38" s="4"/>
      <c r="Z38" s="4"/>
      <c r="AA38" s="26"/>
      <c r="AB38" s="4"/>
      <c r="AC38" s="4"/>
      <c r="AD38" s="4"/>
      <c r="AE38" s="4"/>
    </row>
    <row r="39" spans="2:31" ht="18" customHeight="1" x14ac:dyDescent="0.45">
      <c r="B39" s="28" t="s">
        <v>21</v>
      </c>
      <c r="C39" s="14">
        <f>C36*SQRT(C33*C35*C38)/C33/(2/(C33 + 1))^((C33 + 1)/(2*C33 - 2))</f>
        <v>1345.6025799768956</v>
      </c>
      <c r="D39" s="27" t="s">
        <v>42</v>
      </c>
      <c r="E39" s="4"/>
      <c r="F39" s="4"/>
      <c r="G39" s="4"/>
      <c r="H39" s="4"/>
      <c r="I39" s="4"/>
      <c r="J39" s="4"/>
      <c r="K39" s="26"/>
      <c r="M39" s="25" t="s">
        <v>102</v>
      </c>
      <c r="N39" s="60">
        <f>SQRT(N36/PI())*2</f>
        <v>8.0146599384546782E-2</v>
      </c>
      <c r="O39" s="27" t="s">
        <v>108</v>
      </c>
      <c r="P39" s="4"/>
      <c r="Q39" s="4" t="s">
        <v>102</v>
      </c>
      <c r="R39" s="67">
        <f>CONVERT(3.275, "in", "m")</f>
        <v>8.3184999999999995E-2</v>
      </c>
      <c r="S39" s="27" t="s">
        <v>108</v>
      </c>
      <c r="T39" s="4"/>
      <c r="U39" s="4"/>
      <c r="V39" s="4"/>
      <c r="W39" s="4"/>
      <c r="X39" s="4"/>
      <c r="Y39" s="4"/>
      <c r="Z39" s="4"/>
      <c r="AA39" s="26"/>
      <c r="AB39" s="4"/>
      <c r="AC39" s="4"/>
      <c r="AD39" s="4"/>
      <c r="AE39" s="4"/>
    </row>
    <row r="40" spans="2:31" ht="18" customHeight="1" thickBot="1" x14ac:dyDescent="0.4">
      <c r="B40" s="35"/>
      <c r="C40" s="33"/>
      <c r="D40" s="33"/>
      <c r="E40" s="33"/>
      <c r="F40" s="33"/>
      <c r="G40" s="33"/>
      <c r="H40" s="33"/>
      <c r="I40" s="33"/>
      <c r="J40" s="33"/>
      <c r="K40" s="34"/>
      <c r="M40" s="35"/>
      <c r="N40" s="33"/>
      <c r="O40" s="33"/>
      <c r="P40" s="33"/>
      <c r="Q40" s="33"/>
      <c r="R40" s="33"/>
      <c r="S40" s="33"/>
      <c r="T40" s="33"/>
      <c r="U40" s="33"/>
      <c r="V40" s="33"/>
      <c r="W40" s="33"/>
      <c r="X40" s="33"/>
      <c r="Y40" s="33"/>
      <c r="Z40" s="33"/>
      <c r="AA40" s="34"/>
      <c r="AB40" s="4"/>
      <c r="AC40" s="4"/>
      <c r="AD40" s="4"/>
      <c r="AE40" s="4"/>
    </row>
    <row r="41" spans="2:31" x14ac:dyDescent="0.35">
      <c r="AB41" s="4"/>
      <c r="AC41" s="4"/>
      <c r="AD41" s="4"/>
      <c r="AE41" s="4"/>
    </row>
    <row r="42" spans="2:31" x14ac:dyDescent="0.35">
      <c r="B42" s="8" t="s">
        <v>148</v>
      </c>
      <c r="AB42" s="4"/>
      <c r="AC42" s="4"/>
      <c r="AD42" s="4"/>
      <c r="AE42" s="4"/>
    </row>
    <row r="43" spans="2:31" x14ac:dyDescent="0.35">
      <c r="AB43" s="4"/>
      <c r="AC43" s="4"/>
      <c r="AD43" s="4"/>
      <c r="AE43" s="4"/>
    </row>
    <row r="44" spans="2:31" x14ac:dyDescent="0.35">
      <c r="E44" s="15" t="s">
        <v>43</v>
      </c>
      <c r="F44" s="16" t="s">
        <v>44</v>
      </c>
      <c r="AB44" s="4"/>
      <c r="AC44" s="4"/>
      <c r="AD44" s="4"/>
      <c r="AE44" s="4"/>
    </row>
    <row r="45" spans="2:31" ht="16.5" x14ac:dyDescent="0.45">
      <c r="B45" t="s">
        <v>45</v>
      </c>
      <c r="C45" t="s">
        <v>46</v>
      </c>
      <c r="D45" s="7" t="s">
        <v>47</v>
      </c>
      <c r="E45" s="7" t="s">
        <v>48</v>
      </c>
      <c r="F45" s="7" t="s">
        <v>48</v>
      </c>
      <c r="AB45" s="4"/>
      <c r="AC45" s="4"/>
      <c r="AD45" s="4"/>
      <c r="AE45" s="4"/>
    </row>
    <row r="46" spans="2:31" x14ac:dyDescent="0.35">
      <c r="B46">
        <v>60</v>
      </c>
      <c r="C46" s="14">
        <f t="shared" ref="C46:C109" si="2">SQRT(2/($C$33-1)*((B46/$H$20)^((1-$C$33)/$C$33) - 1))</f>
        <v>2.9419571627982948</v>
      </c>
      <c r="D46" s="14">
        <f t="shared" ref="D46:D109" si="3">1/C46*(2/($C$33+1)*(1 + ($C$33-1)/2*C46^2))^(($C$33+1)/(2*$C$33-2))</f>
        <v>5.709668231772759</v>
      </c>
      <c r="E46" s="14">
        <f>$C$36*$C$39/9.81*($C$33*SQRT(2/($C$33-1)*(2/($C$33+1))^(($C$33+1)/($C$33-1))*(1 - (B46/$H$20)^(($C$33-1)/$C$33))) + D46/$H$20*(B46 - $C$28))</f>
        <v>180.29639741362371</v>
      </c>
      <c r="F46" s="14">
        <f>$C$36*$C$39/9.81*($C$33*SQRT(2/($C$33-1)*(2/($C$33+1))^(($C$33+1)/($C$33-1))*(1 - (B46/$H$20)^(($C$33-1)/$C$33))) + D46/$H$20*(B46 - $C$27))</f>
        <v>179.09556825199738</v>
      </c>
      <c r="AB46" s="4"/>
      <c r="AC46" s="4"/>
      <c r="AD46" s="4"/>
      <c r="AE46" s="4"/>
    </row>
    <row r="47" spans="2:31" x14ac:dyDescent="0.35">
      <c r="B47">
        <v>60.25</v>
      </c>
      <c r="C47" s="14">
        <f t="shared" si="2"/>
        <v>2.9396643902438764</v>
      </c>
      <c r="D47" s="14">
        <f t="shared" si="3"/>
        <v>5.6926240212873909</v>
      </c>
      <c r="E47" s="14">
        <f t="shared" ref="E47:E110" si="4">$C$37*$C$39/9.81*($C$33*SQRT(2/($C$33-1)*(2/($C$33+1))^(($C$33+1)/($C$33-1))*(1 - (B47/$H$20)^(($C$33-1)/$C$33))) + D47/$H$20*(B47 - $C$28))</f>
        <v>180.31501798953704</v>
      </c>
      <c r="F47" s="14">
        <f t="shared" ref="F47:F110" si="5">$C$37*$C$39/9.81*($C$33*SQRT(2/($C$33-1)*(2/($C$33+1))^(($C$33+1)/($C$33-1))*(1 - (B47/$H$20)^(($C$33-1)/$C$33))) + D47/$H$20*(B47 - $C$27))</f>
        <v>179.11777348189702</v>
      </c>
      <c r="AB47" s="4"/>
      <c r="AC47" s="4"/>
      <c r="AD47" s="4"/>
      <c r="AE47" s="4"/>
    </row>
    <row r="48" spans="2:31" x14ac:dyDescent="0.35">
      <c r="B48">
        <v>60.5</v>
      </c>
      <c r="C48" s="14">
        <f t="shared" si="2"/>
        <v>2.9373811060626664</v>
      </c>
      <c r="D48" s="14">
        <f t="shared" si="3"/>
        <v>5.6757043934493883</v>
      </c>
      <c r="E48" s="14">
        <f t="shared" si="4"/>
        <v>180.33328607153283</v>
      </c>
      <c r="F48" s="14">
        <f t="shared" si="5"/>
        <v>179.13960001627345</v>
      </c>
    </row>
    <row r="49" spans="2:8" x14ac:dyDescent="0.35">
      <c r="B49">
        <v>60.75</v>
      </c>
      <c r="C49" s="14">
        <f t="shared" si="2"/>
        <v>2.9351072306476254</v>
      </c>
      <c r="D49" s="14">
        <f t="shared" si="3"/>
        <v>5.6589079269553704</v>
      </c>
      <c r="E49" s="14">
        <f t="shared" si="4"/>
        <v>180.35120636264841</v>
      </c>
      <c r="F49" s="14">
        <f>$C$37*$C$39/9.81*($C$33*SQRT(2/($C$33-1)*(2/($C$33+1))^(($C$33+1)/($C$33-1))*(1 - (B49/$H$20)^(($C$33-1)/$C$33))) + D49/$H$20*(B49 - $C$27))</f>
        <v>179.16105285708534</v>
      </c>
    </row>
    <row r="50" spans="2:8" x14ac:dyDescent="0.35">
      <c r="B50">
        <v>61</v>
      </c>
      <c r="C50" s="14">
        <f t="shared" si="2"/>
        <v>2.9328426853860354</v>
      </c>
      <c r="D50" s="14">
        <f t="shared" si="3"/>
        <v>5.6422332224972092</v>
      </c>
      <c r="E50" s="14">
        <f t="shared" si="4"/>
        <v>180.36878348820329</v>
      </c>
      <c r="F50" s="14">
        <f t="shared" si="5"/>
        <v>179.18213692394784</v>
      </c>
    </row>
    <row r="51" spans="2:8" x14ac:dyDescent="0.35">
      <c r="B51">
        <v>61.25</v>
      </c>
      <c r="C51" s="14">
        <f t="shared" si="2"/>
        <v>2.9305873926430368</v>
      </c>
      <c r="D51" s="14">
        <f t="shared" si="3"/>
        <v>5.6256789023329761</v>
      </c>
      <c r="E51" s="14">
        <f t="shared" si="4"/>
        <v>180.38602199737085</v>
      </c>
      <c r="F51" s="14">
        <f t="shared" si="5"/>
        <v>179.2028570557942</v>
      </c>
    </row>
    <row r="52" spans="2:8" x14ac:dyDescent="0.35">
      <c r="B52">
        <v>61.5</v>
      </c>
      <c r="C52" s="14">
        <f t="shared" si="2"/>
        <v>2.9283412757455221</v>
      </c>
      <c r="D52" s="14">
        <f t="shared" si="3"/>
        <v>5.6092436098680718</v>
      </c>
      <c r="E52" s="14">
        <f t="shared" si="4"/>
        <v>180.4029263647129</v>
      </c>
      <c r="F52" s="14">
        <f t="shared" si="5"/>
        <v>179.22321801249845</v>
      </c>
    </row>
    <row r="53" spans="2:8" x14ac:dyDescent="0.35">
      <c r="B53">
        <v>61.75</v>
      </c>
      <c r="C53" s="14">
        <f t="shared" si="2"/>
        <v>2.9261042589663462</v>
      </c>
      <c r="D53" s="14">
        <f t="shared" si="3"/>
        <v>5.5929260092460344</v>
      </c>
      <c r="E53" s="14">
        <f t="shared" si="4"/>
        <v>180.4195009916767</v>
      </c>
      <c r="F53" s="14">
        <f t="shared" si="5"/>
        <v>179.24322447645864</v>
      </c>
    </row>
    <row r="54" spans="2:8" x14ac:dyDescent="0.35">
      <c r="B54">
        <v>62</v>
      </c>
      <c r="C54" s="14">
        <f t="shared" si="2"/>
        <v>2.9238762675088683</v>
      </c>
      <c r="D54" s="14">
        <f t="shared" si="3"/>
        <v>5.5767247849489889</v>
      </c>
      <c r="E54" s="14">
        <f t="shared" si="4"/>
        <v>180.43575020805702</v>
      </c>
      <c r="F54" s="14">
        <f t="shared" si="5"/>
        <v>179.26288105414264</v>
      </c>
    </row>
    <row r="55" spans="2:8" x14ac:dyDescent="0.35">
      <c r="B55">
        <v>62.25</v>
      </c>
      <c r="C55" s="14">
        <f t="shared" si="2"/>
        <v>2.9216572274918016</v>
      </c>
      <c r="D55" s="14">
        <f t="shared" si="3"/>
        <v>5.5606386414073583</v>
      </c>
      <c r="E55" s="14">
        <f t="shared" si="4"/>
        <v>180.45167827342269</v>
      </c>
      <c r="F55" s="14">
        <f t="shared" si="5"/>
        <v>179.28219227759712</v>
      </c>
    </row>
    <row r="56" spans="2:8" x14ac:dyDescent="0.35">
      <c r="B56">
        <v>62.5</v>
      </c>
      <c r="C56" s="14">
        <f t="shared" si="2"/>
        <v>2.9194470659343708</v>
      </c>
      <c r="D56" s="14">
        <f t="shared" si="3"/>
        <v>5.5446663026185155</v>
      </c>
      <c r="E56" s="14">
        <f t="shared" si="4"/>
        <v>180.46728937851006</v>
      </c>
      <c r="F56" s="14">
        <f t="shared" si="5"/>
        <v>179.30116260592104</v>
      </c>
    </row>
    <row r="57" spans="2:8" x14ac:dyDescent="0.35">
      <c r="B57">
        <v>62.75</v>
      </c>
      <c r="C57" s="14">
        <f t="shared" si="2"/>
        <v>2.9172457107417724</v>
      </c>
      <c r="D57" s="14">
        <f t="shared" si="3"/>
        <v>5.5288065117743441</v>
      </c>
      <c r="E57" s="14">
        <f t="shared" si="4"/>
        <v>180.48258764658308</v>
      </c>
      <c r="F57" s="14">
        <f t="shared" si="5"/>
        <v>179.31979642670396</v>
      </c>
    </row>
    <row r="58" spans="2:8" x14ac:dyDescent="0.35">
      <c r="B58">
        <v>63</v>
      </c>
      <c r="C58" s="14">
        <f t="shared" si="2"/>
        <v>2.9150530906909227</v>
      </c>
      <c r="D58" s="14">
        <f t="shared" si="3"/>
        <v>5.5130580308972332</v>
      </c>
      <c r="E58" s="14">
        <f t="shared" si="4"/>
        <v>180.49757713476197</v>
      </c>
      <c r="F58" s="14">
        <f t="shared" si="5"/>
        <v>179.33809805743135</v>
      </c>
    </row>
    <row r="59" spans="2:8" x14ac:dyDescent="0.35">
      <c r="B59">
        <v>63.25</v>
      </c>
      <c r="C59" s="14">
        <f t="shared" si="2"/>
        <v>2.9128691354164888</v>
      </c>
      <c r="D59" s="14">
        <f t="shared" si="3"/>
        <v>5.4974196404844289</v>
      </c>
      <c r="E59" s="14">
        <f t="shared" si="4"/>
        <v>180.51226183532006</v>
      </c>
      <c r="F59" s="14">
        <f t="shared" si="5"/>
        <v>179.35607174685646</v>
      </c>
    </row>
    <row r="60" spans="2:8" x14ac:dyDescent="0.35">
      <c r="B60">
        <v>63.5</v>
      </c>
      <c r="C60" s="14">
        <f t="shared" si="2"/>
        <v>2.9106937753972084</v>
      </c>
      <c r="D60" s="14">
        <f t="shared" si="3"/>
        <v>5.4818901391605364</v>
      </c>
      <c r="E60" s="14">
        <f t="shared" si="4"/>
        <v>180.52664567695118</v>
      </c>
      <c r="F60" s="14">
        <f t="shared" si="5"/>
        <v>179.37372167634038</v>
      </c>
    </row>
    <row r="61" spans="2:8" x14ac:dyDescent="0.35">
      <c r="B61">
        <v>63.75</v>
      </c>
      <c r="C61" s="14">
        <f t="shared" si="2"/>
        <v>2.908526941942466</v>
      </c>
      <c r="D61" s="14">
        <f t="shared" si="3"/>
        <v>5.4664683433377759</v>
      </c>
      <c r="E61" s="14">
        <f t="shared" si="4"/>
        <v>180.54073252600713</v>
      </c>
      <c r="F61" s="14">
        <f t="shared" si="5"/>
        <v>179.39105196116122</v>
      </c>
    </row>
    <row r="62" spans="2:8" x14ac:dyDescent="0.35">
      <c r="B62">
        <v>64</v>
      </c>
      <c r="C62" s="14">
        <f t="shared" si="2"/>
        <v>2.9063685671791455</v>
      </c>
      <c r="D62" s="14">
        <f t="shared" si="3"/>
        <v>5.4511530868840232</v>
      </c>
      <c r="E62" s="14">
        <f t="shared" si="4"/>
        <v>180.55452618770667</v>
      </c>
      <c r="F62" s="14">
        <f t="shared" si="5"/>
        <v>179.40806665179289</v>
      </c>
    </row>
    <row r="63" spans="2:8" x14ac:dyDescent="0.35">
      <c r="B63">
        <v>64.25</v>
      </c>
      <c r="C63" s="14">
        <f t="shared" si="2"/>
        <v>2.9042185840387393</v>
      </c>
      <c r="D63" s="14">
        <f t="shared" si="3"/>
        <v>5.4359432207982881</v>
      </c>
      <c r="E63" s="14">
        <f t="shared" si="4"/>
        <v>180.56803040731657</v>
      </c>
      <c r="F63" s="14">
        <f t="shared" si="5"/>
        <v>179.42476973515437</v>
      </c>
      <c r="H63" t="s">
        <v>64</v>
      </c>
    </row>
    <row r="64" spans="2:8" x14ac:dyDescent="0.35">
      <c r="B64">
        <v>64.5</v>
      </c>
      <c r="C64" s="14">
        <f t="shared" si="2"/>
        <v>2.9020769262447059</v>
      </c>
      <c r="D64" s="14">
        <f t="shared" si="3"/>
        <v>5.4208376128933908</v>
      </c>
      <c r="E64" s="14">
        <f t="shared" si="4"/>
        <v>180.58124887130583</v>
      </c>
      <c r="F64" s="14">
        <f t="shared" si="5"/>
        <v>179.44116513583066</v>
      </c>
      <c r="H64" s="22" t="s">
        <v>59</v>
      </c>
    </row>
    <row r="65" spans="2:8" x14ac:dyDescent="0.35">
      <c r="B65">
        <v>64.75</v>
      </c>
      <c r="C65" s="14">
        <f t="shared" si="2"/>
        <v>2.8999435283000778</v>
      </c>
      <c r="D65" s="14">
        <f t="shared" si="3"/>
        <v>5.4058351474858144</v>
      </c>
      <c r="E65" s="14">
        <f t="shared" si="4"/>
        <v>180.59418520847308</v>
      </c>
      <c r="F65" s="14">
        <f t="shared" si="5"/>
        <v>179.45725671726544</v>
      </c>
      <c r="H65" s="22" t="s">
        <v>58</v>
      </c>
    </row>
    <row r="66" spans="2:8" x14ac:dyDescent="0.35">
      <c r="B66">
        <v>65</v>
      </c>
      <c r="C66" s="14">
        <f t="shared" si="2"/>
        <v>2.8978183254753129</v>
      </c>
      <c r="D66" s="14">
        <f t="shared" si="3"/>
        <v>5.39093472509244</v>
      </c>
      <c r="E66" s="14">
        <f t="shared" si="4"/>
        <v>180.60684299104861</v>
      </c>
      <c r="F66" s="14">
        <f t="shared" si="5"/>
        <v>179.47304828292681</v>
      </c>
    </row>
    <row r="67" spans="2:8" x14ac:dyDescent="0.35">
      <c r="B67">
        <v>65.25</v>
      </c>
      <c r="C67" s="14">
        <f t="shared" si="2"/>
        <v>2.8957012537963731</v>
      </c>
      <c r="D67" s="14">
        <f t="shared" si="3"/>
        <v>5.3761352621339178</v>
      </c>
      <c r="E67" s="14">
        <f t="shared" si="4"/>
        <v>180.61922573577118</v>
      </c>
      <c r="F67" s="14">
        <f t="shared" si="5"/>
        <v>179.48854357744659</v>
      </c>
    </row>
    <row r="68" spans="2:8" x14ac:dyDescent="0.35">
      <c r="B68">
        <v>65.5</v>
      </c>
      <c r="C68" s="14">
        <f t="shared" si="2"/>
        <v>2.893592250033044</v>
      </c>
      <c r="D68" s="14">
        <f t="shared" si="3"/>
        <v>5.3614356906446847</v>
      </c>
      <c r="E68" s="14">
        <f t="shared" si="4"/>
        <v>180.63133690494075</v>
      </c>
      <c r="F68" s="14">
        <f t="shared" si="5"/>
        <v>179.503746287734</v>
      </c>
    </row>
    <row r="69" spans="2:8" x14ac:dyDescent="0.35">
      <c r="B69">
        <v>65.75</v>
      </c>
      <c r="C69" s="14">
        <f t="shared" si="2"/>
        <v>2.891491251687468</v>
      </c>
      <c r="D69" s="14">
        <f t="shared" si="3"/>
        <v>5.346834957989274</v>
      </c>
      <c r="E69" s="14">
        <f t="shared" si="4"/>
        <v>180.64317990744712</v>
      </c>
      <c r="F69" s="14">
        <f t="shared" si="5"/>
        <v>179.51866004406386</v>
      </c>
    </row>
    <row r="70" spans="2:8" x14ac:dyDescent="0.35">
      <c r="B70">
        <v>66</v>
      </c>
      <c r="C70" s="14">
        <f t="shared" si="2"/>
        <v>2.8893981969829068</v>
      </c>
      <c r="D70" s="14">
        <f t="shared" si="3"/>
        <v>5.332332026584897</v>
      </c>
      <c r="E70" s="14">
        <f t="shared" si="4"/>
        <v>180.65475809977573</v>
      </c>
      <c r="F70" s="14">
        <f t="shared" si="5"/>
        <v>179.53328842114098</v>
      </c>
    </row>
    <row r="71" spans="2:8" x14ac:dyDescent="0.35">
      <c r="B71">
        <v>66.25</v>
      </c>
      <c r="C71" s="14">
        <f t="shared" si="2"/>
        <v>2.8873130248527112</v>
      </c>
      <c r="D71" s="14">
        <f t="shared" si="3"/>
        <v>5.3179258736300428</v>
      </c>
      <c r="E71" s="14">
        <f t="shared" si="4"/>
        <v>180.66607478699103</v>
      </c>
      <c r="F71" s="14">
        <f t="shared" si="5"/>
        <v>179.54763493914027</v>
      </c>
    </row>
    <row r="72" spans="2:8" x14ac:dyDescent="0.35">
      <c r="B72">
        <v>66.5</v>
      </c>
      <c r="C72" s="14">
        <f t="shared" si="2"/>
        <v>2.8852356749295067</v>
      </c>
      <c r="D72" s="14">
        <f t="shared" si="3"/>
        <v>5.303615490838971</v>
      </c>
      <c r="E72" s="14">
        <f t="shared" si="4"/>
        <v>180.67713322369767</v>
      </c>
      <c r="F72" s="14">
        <f t="shared" si="5"/>
        <v>179.5617030647241</v>
      </c>
    </row>
    <row r="73" spans="2:8" x14ac:dyDescent="0.35">
      <c r="B73">
        <v>66.75</v>
      </c>
      <c r="C73" s="14">
        <f t="shared" si="2"/>
        <v>2.8831660875345757</v>
      </c>
      <c r="D73" s="14">
        <f t="shared" si="3"/>
        <v>5.289399884181968</v>
      </c>
      <c r="E73" s="14">
        <f t="shared" si="4"/>
        <v>180.6879366149804</v>
      </c>
      <c r="F73" s="14">
        <f t="shared" si="5"/>
        <v>179.5754962120366</v>
      </c>
    </row>
    <row r="74" spans="2:8" x14ac:dyDescent="0.35">
      <c r="B74">
        <v>67</v>
      </c>
      <c r="C74" s="14">
        <f t="shared" si="2"/>
        <v>2.881104203667451</v>
      </c>
      <c r="D74" s="14">
        <f t="shared" si="3"/>
        <v>5.2752780736312133</v>
      </c>
      <c r="E74" s="14">
        <f t="shared" si="4"/>
        <v>180.69848811732354</v>
      </c>
      <c r="F74" s="14">
        <f t="shared" si="5"/>
        <v>179.58901774367669</v>
      </c>
    </row>
    <row r="75" spans="2:8" x14ac:dyDescent="0.35">
      <c r="B75">
        <v>67.25</v>
      </c>
      <c r="C75" s="14">
        <f t="shared" si="2"/>
        <v>2.8790499649956933</v>
      </c>
      <c r="D75" s="14">
        <f t="shared" si="3"/>
        <v>5.2612490929120659</v>
      </c>
      <c r="E75" s="14">
        <f t="shared" si="4"/>
        <v>180.70879083950962</v>
      </c>
      <c r="F75" s="14">
        <f t="shared" si="5"/>
        <v>179.60227097164903</v>
      </c>
    </row>
    <row r="76" spans="2:8" x14ac:dyDescent="0.35">
      <c r="B76">
        <v>67.5</v>
      </c>
      <c r="C76" s="14">
        <f t="shared" si="2"/>
        <v>2.8770033138448712</v>
      </c>
      <c r="D76" s="14">
        <f t="shared" si="3"/>
        <v>5.24731198925973</v>
      </c>
      <c r="E76" s="14">
        <f t="shared" si="4"/>
        <v>180.71884784349876</v>
      </c>
      <c r="F76" s="14">
        <f t="shared" si="5"/>
        <v>179.61525915829449</v>
      </c>
    </row>
    <row r="77" spans="2:8" x14ac:dyDescent="0.35">
      <c r="B77">
        <v>67.75</v>
      </c>
      <c r="C77" s="14">
        <f t="shared" si="2"/>
        <v>2.8749641931887178</v>
      </c>
      <c r="D77" s="14">
        <f t="shared" si="3"/>
        <v>5.2334658231810565</v>
      </c>
      <c r="E77" s="14">
        <f t="shared" si="4"/>
        <v>180.72866214528861</v>
      </c>
      <c r="F77" s="14">
        <f t="shared" si="5"/>
        <v>179.62798551720027</v>
      </c>
    </row>
    <row r="78" spans="2:8" x14ac:dyDescent="0.35">
      <c r="B78">
        <v>68</v>
      </c>
      <c r="C78" s="14">
        <f t="shared" si="2"/>
        <v>2.8729325466394804</v>
      </c>
      <c r="D78" s="14">
        <f t="shared" si="3"/>
        <v>5.2197096682214568</v>
      </c>
      <c r="E78" s="14">
        <f t="shared" si="4"/>
        <v>180.73823671575533</v>
      </c>
      <c r="F78" s="14">
        <f t="shared" si="5"/>
        <v>179.64045321408992</v>
      </c>
    </row>
    <row r="79" spans="2:8" x14ac:dyDescent="0.35">
      <c r="B79">
        <v>68.25</v>
      </c>
      <c r="C79" s="14">
        <f t="shared" si="2"/>
        <v>2.8709083184384374</v>
      </c>
      <c r="D79" s="14">
        <f t="shared" si="3"/>
        <v>5.2060426107366959</v>
      </c>
      <c r="E79" s="14">
        <f t="shared" si="4"/>
        <v>180.74757448147682</v>
      </c>
      <c r="F79" s="14">
        <f t="shared" si="5"/>
        <v>179.6526653676944</v>
      </c>
    </row>
    <row r="80" spans="2:8" x14ac:dyDescent="0.35">
      <c r="B80">
        <v>68.5</v>
      </c>
      <c r="C80" s="14">
        <f t="shared" si="2"/>
        <v>2.8688914534466039</v>
      </c>
      <c r="D80" s="14">
        <f t="shared" si="3"/>
        <v>5.1924637496695594</v>
      </c>
      <c r="E80" s="14">
        <f t="shared" si="4"/>
        <v>180.75667832553737</v>
      </c>
      <c r="F80" s="14">
        <f t="shared" si="5"/>
        <v>179.66462505060392</v>
      </c>
    </row>
    <row r="81" spans="2:6" x14ac:dyDescent="0.35">
      <c r="B81">
        <v>68.75</v>
      </c>
      <c r="C81" s="14">
        <f t="shared" si="2"/>
        <v>2.8668818971355958</v>
      </c>
      <c r="D81" s="14">
        <f t="shared" si="3"/>
        <v>5.1789721963311708</v>
      </c>
      <c r="E81" s="14">
        <f t="shared" si="4"/>
        <v>180.7655510883159</v>
      </c>
      <c r="F81" s="14">
        <f t="shared" si="5"/>
        <v>179.67633529010206</v>
      </c>
    </row>
    <row r="82" spans="2:6" x14ac:dyDescent="0.35">
      <c r="B82">
        <v>69</v>
      </c>
      <c r="C82" s="14">
        <f t="shared" si="2"/>
        <v>2.8648795955786683</v>
      </c>
      <c r="D82" s="14">
        <f t="shared" si="3"/>
        <v>5.1655670741868853</v>
      </c>
      <c r="E82" s="14">
        <f t="shared" si="4"/>
        <v>180.77419556825643</v>
      </c>
      <c r="F82" s="14">
        <f t="shared" si="5"/>
        <v>179.68779906898126</v>
      </c>
    </row>
    <row r="83" spans="2:6" x14ac:dyDescent="0.35">
      <c r="B83">
        <v>69.25</v>
      </c>
      <c r="C83" s="14">
        <f t="shared" si="2"/>
        <v>2.8628844954419161</v>
      </c>
      <c r="D83" s="14">
        <f t="shared" si="3"/>
        <v>5.1522475186467025</v>
      </c>
      <c r="E83" s="14">
        <f t="shared" si="4"/>
        <v>180.7826145226224</v>
      </c>
      <c r="F83" s="14">
        <f t="shared" si="5"/>
        <v>179.6990193263413</v>
      </c>
    </row>
    <row r="84" spans="2:6" x14ac:dyDescent="0.35">
      <c r="B84">
        <v>69.5</v>
      </c>
      <c r="C84" s="14">
        <f t="shared" si="2"/>
        <v>2.8608965439756342</v>
      </c>
      <c r="D84" s="14">
        <f t="shared" si="3"/>
        <v>5.1390126768599727</v>
      </c>
      <c r="E84" s="14">
        <f t="shared" si="4"/>
        <v>180.79081066823483</v>
      </c>
      <c r="F84" s="14">
        <f t="shared" si="5"/>
        <v>179.70999895837039</v>
      </c>
    </row>
    <row r="85" spans="2:6" x14ac:dyDescent="0.35">
      <c r="B85">
        <v>69.75</v>
      </c>
      <c r="C85" s="14">
        <f t="shared" si="2"/>
        <v>2.8589156890058325</v>
      </c>
      <c r="D85" s="14">
        <f t="shared" si="3"/>
        <v>5.1258617075143817</v>
      </c>
      <c r="E85" s="14">
        <f t="shared" si="4"/>
        <v>180.7987866821949</v>
      </c>
      <c r="F85" s="14">
        <f t="shared" si="5"/>
        <v>179.72074081911049</v>
      </c>
    </row>
    <row r="86" spans="2:6" x14ac:dyDescent="0.35">
      <c r="B86">
        <v>70</v>
      </c>
      <c r="C86" s="14">
        <f t="shared" si="2"/>
        <v>2.8569418789259085</v>
      </c>
      <c r="D86" s="14">
        <f t="shared" si="3"/>
        <v>5.1127937806391177</v>
      </c>
      <c r="E86" s="14">
        <f t="shared" si="4"/>
        <v>180.80654520259094</v>
      </c>
      <c r="F86" s="14">
        <f t="shared" si="5"/>
        <v>179.73124772120522</v>
      </c>
    </row>
    <row r="87" spans="2:6" x14ac:dyDescent="0.35">
      <c r="B87">
        <v>70.25</v>
      </c>
      <c r="C87" s="14">
        <f t="shared" si="2"/>
        <v>2.8549750626884665</v>
      </c>
      <c r="D87" s="14">
        <f t="shared" si="3"/>
        <v>5.0998080774120247</v>
      </c>
      <c r="E87" s="14">
        <f t="shared" si="4"/>
        <v>180.81408882919072</v>
      </c>
      <c r="F87" s="14">
        <f t="shared" si="5"/>
        <v>179.74152243663301</v>
      </c>
    </row>
    <row r="88" spans="2:6" x14ac:dyDescent="0.35">
      <c r="B88">
        <v>70.5</v>
      </c>
      <c r="C88" s="14">
        <f t="shared" si="2"/>
        <v>2.8530151897972815</v>
      </c>
      <c r="D88" s="14">
        <f t="shared" si="3"/>
        <v>5.0869037899707266</v>
      </c>
      <c r="E88" s="14">
        <f t="shared" si="4"/>
        <v>180.82142012411913</v>
      </c>
      <c r="F88" s="14">
        <f t="shared" si="5"/>
        <v>179.75156769742432</v>
      </c>
    </row>
    <row r="89" spans="2:6" x14ac:dyDescent="0.35">
      <c r="B89">
        <v>70.75</v>
      </c>
      <c r="C89" s="14">
        <f t="shared" si="2"/>
        <v>2.851062210299415</v>
      </c>
      <c r="D89" s="14">
        <f t="shared" si="3"/>
        <v>5.0740801212276967</v>
      </c>
      <c r="E89" s="14">
        <f t="shared" si="4"/>
        <v>180.82854161252152</v>
      </c>
      <c r="F89" s="14">
        <f t="shared" si="5"/>
        <v>179.76138619636399</v>
      </c>
    </row>
    <row r="90" spans="2:6" x14ac:dyDescent="0.35">
      <c r="B90">
        <v>71</v>
      </c>
      <c r="C90" s="14">
        <f t="shared" si="2"/>
        <v>2.8491160747774589</v>
      </c>
      <c r="D90" s="14">
        <f t="shared" si="3"/>
        <v>5.0613362846889034</v>
      </c>
      <c r="E90" s="14">
        <f t="shared" si="4"/>
        <v>180.83545578321315</v>
      </c>
      <c r="F90" s="14">
        <f t="shared" si="5"/>
        <v>179.77098058767888</v>
      </c>
    </row>
    <row r="91" spans="2:6" x14ac:dyDescent="0.35">
      <c r="B91">
        <v>71.25</v>
      </c>
      <c r="C91" s="14">
        <f t="shared" si="2"/>
        <v>2.8471767343419287</v>
      </c>
      <c r="D91" s="14">
        <f t="shared" si="3"/>
        <v>5.0486715042763484</v>
      </c>
      <c r="E91" s="14">
        <f t="shared" si="4"/>
        <v>180.84216508931533</v>
      </c>
      <c r="F91" s="14">
        <f t="shared" si="5"/>
        <v>179.78035348771118</v>
      </c>
    </row>
    <row r="92" spans="2:6" x14ac:dyDescent="0.35">
      <c r="B92">
        <v>71.5</v>
      </c>
      <c r="C92" s="14">
        <f t="shared" si="2"/>
        <v>2.8452441406237838</v>
      </c>
      <c r="D92" s="14">
        <f t="shared" si="3"/>
        <v>5.0360850141540165</v>
      </c>
      <c r="E92" s="14">
        <f t="shared" si="4"/>
        <v>180.84867194887835</v>
      </c>
      <c r="F92" s="14">
        <f t="shared" si="5"/>
        <v>179.78950747557795</v>
      </c>
    </row>
    <row r="93" spans="2:6" x14ac:dyDescent="0.35">
      <c r="B93">
        <v>71.75</v>
      </c>
      <c r="C93" s="14">
        <f t="shared" si="2"/>
        <v>2.8433182457670809</v>
      </c>
      <c r="D93" s="14">
        <f t="shared" si="3"/>
        <v>5.023576058557425</v>
      </c>
      <c r="E93" s="14">
        <f t="shared" si="4"/>
        <v>180.85497874549108</v>
      </c>
      <c r="F93" s="14">
        <f t="shared" si="5"/>
        <v>179.79844509381675</v>
      </c>
    </row>
    <row r="94" spans="2:6" x14ac:dyDescent="0.35">
      <c r="B94">
        <v>72</v>
      </c>
      <c r="C94" s="14">
        <f t="shared" si="2"/>
        <v>2.8413990024217597</v>
      </c>
      <c r="D94" s="14">
        <f t="shared" si="3"/>
        <v>5.0111438916265838</v>
      </c>
      <c r="E94" s="14">
        <f t="shared" si="4"/>
        <v>180.86108782887831</v>
      </c>
      <c r="F94" s="14">
        <f t="shared" si="5"/>
        <v>179.80716884901798</v>
      </c>
    </row>
    <row r="95" spans="2:6" x14ac:dyDescent="0.35">
      <c r="B95">
        <v>72.25</v>
      </c>
      <c r="C95" s="14">
        <f t="shared" si="2"/>
        <v>2.8394863637365515</v>
      </c>
      <c r="D95" s="14">
        <f t="shared" si="3"/>
        <v>4.9987877772422609</v>
      </c>
      <c r="E95" s="14">
        <f t="shared" si="4"/>
        <v>180.86700151548615</v>
      </c>
      <c r="F95" s="14">
        <f t="shared" si="5"/>
        <v>179.81568121244464</v>
      </c>
    </row>
    <row r="96" spans="2:6" x14ac:dyDescent="0.35">
      <c r="B96">
        <v>72.5</v>
      </c>
      <c r="C96" s="14">
        <f t="shared" si="2"/>
        <v>2.8375802833520107</v>
      </c>
      <c r="D96" s="14">
        <f t="shared" si="3"/>
        <v>4.9865069888655382</v>
      </c>
      <c r="E96" s="14">
        <f t="shared" si="4"/>
        <v>180.87272208905458</v>
      </c>
      <c r="F96" s="14">
        <f t="shared" si="5"/>
        <v>179.82398462063881</v>
      </c>
    </row>
    <row r="97" spans="2:6" x14ac:dyDescent="0.35">
      <c r="B97">
        <v>72.75</v>
      </c>
      <c r="C97" s="14">
        <f t="shared" si="2"/>
        <v>2.8356807153936692</v>
      </c>
      <c r="D97" s="14">
        <f t="shared" si="3"/>
        <v>4.9743008093805372</v>
      </c>
      <c r="E97" s="14">
        <f t="shared" si="4"/>
        <v>180.8782518011792</v>
      </c>
      <c r="F97" s="14">
        <f t="shared" si="5"/>
        <v>179.83208147601633</v>
      </c>
    </row>
    <row r="98" spans="2:6" x14ac:dyDescent="0.35">
      <c r="B98">
        <v>73</v>
      </c>
      <c r="C98" s="14">
        <f t="shared" si="2"/>
        <v>2.8337876144653138</v>
      </c>
      <c r="D98" s="14">
        <f t="shared" si="3"/>
        <v>4.9621685309402883</v>
      </c>
      <c r="E98" s="14">
        <f t="shared" si="4"/>
        <v>180.88359287186103</v>
      </c>
      <c r="F98" s="14">
        <f t="shared" si="5"/>
        <v>179.83997414744914</v>
      </c>
    </row>
    <row r="99" spans="2:6" x14ac:dyDescent="0.35">
      <c r="B99">
        <v>73.25</v>
      </c>
      <c r="C99" s="14">
        <f t="shared" si="2"/>
        <v>2.8319009356423668</v>
      </c>
      <c r="D99" s="14">
        <f t="shared" si="3"/>
        <v>4.9501094548155899</v>
      </c>
      <c r="E99" s="14">
        <f t="shared" si="4"/>
        <v>180.88874749004498</v>
      </c>
      <c r="F99" s="14">
        <f t="shared" si="5"/>
        <v>179.84766497083538</v>
      </c>
    </row>
    <row r="100" spans="2:6" x14ac:dyDescent="0.35">
      <c r="B100">
        <v>73.5</v>
      </c>
      <c r="C100" s="14">
        <f t="shared" si="2"/>
        <v>2.8300206344653955</v>
      </c>
      <c r="D100" s="14">
        <f t="shared" si="3"/>
        <v>4.93812289124691</v>
      </c>
      <c r="E100" s="14">
        <f t="shared" si="4"/>
        <v>180.89371781414826</v>
      </c>
      <c r="F100" s="14">
        <f t="shared" si="5"/>
        <v>179.85515624965913</v>
      </c>
    </row>
    <row r="101" spans="2:6" x14ac:dyDescent="0.35">
      <c r="B101">
        <v>73.75</v>
      </c>
      <c r="C101" s="14">
        <f t="shared" si="2"/>
        <v>2.8281466669337219</v>
      </c>
      <c r="D101" s="14">
        <f t="shared" si="3"/>
        <v>4.9262081592990716</v>
      </c>
      <c r="E101" s="14">
        <f t="shared" si="4"/>
        <v>180.89850597257723</v>
      </c>
      <c r="F101" s="14">
        <f t="shared" si="5"/>
        <v>179.86245025553754</v>
      </c>
    </row>
    <row r="102" spans="2:6" x14ac:dyDescent="0.35">
      <c r="B102">
        <v>74</v>
      </c>
      <c r="C102" s="14">
        <f t="shared" si="2"/>
        <v>2.8262789894991456</v>
      </c>
      <c r="D102" s="14">
        <f t="shared" si="3"/>
        <v>4.9143645867189374</v>
      </c>
      <c r="E102" s="14">
        <f t="shared" si="4"/>
        <v>180.90311406423425</v>
      </c>
      <c r="F102" s="14">
        <f t="shared" si="5"/>
        <v>179.86954922875802</v>
      </c>
    </row>
    <row r="103" spans="2:6" x14ac:dyDescent="0.35">
      <c r="B103">
        <v>74.25</v>
      </c>
      <c r="C103" s="14">
        <f t="shared" si="2"/>
        <v>2.824417559059778</v>
      </c>
      <c r="D103" s="14">
        <f t="shared" si="3"/>
        <v>4.9025915097957196</v>
      </c>
      <c r="E103" s="14">
        <f t="shared" si="4"/>
        <v>180.90754415901446</v>
      </c>
      <c r="F103" s="14">
        <f t="shared" si="5"/>
        <v>179.87645537880408</v>
      </c>
    </row>
    <row r="104" spans="2:6" x14ac:dyDescent="0.35">
      <c r="B104">
        <v>74.5</v>
      </c>
      <c r="C104" s="14">
        <f t="shared" si="2"/>
        <v>2.8225623329539689</v>
      </c>
      <c r="D104" s="14">
        <f t="shared" si="3"/>
        <v>4.8908882732240508</v>
      </c>
      <c r="E104" s="14">
        <f t="shared" si="4"/>
        <v>180.91179829829264</v>
      </c>
      <c r="F104" s="14">
        <f t="shared" si="5"/>
        <v>179.88317088487105</v>
      </c>
    </row>
    <row r="105" spans="2:6" x14ac:dyDescent="0.35">
      <c r="B105">
        <v>74.75</v>
      </c>
      <c r="C105" s="14">
        <f t="shared" si="2"/>
        <v>2.8207132689543504</v>
      </c>
      <c r="D105" s="14">
        <f t="shared" si="3"/>
        <v>4.8792542299697468</v>
      </c>
      <c r="E105" s="14">
        <f t="shared" si="4"/>
        <v>180.91587849540005</v>
      </c>
      <c r="F105" s="14">
        <f t="shared" si="5"/>
        <v>179.88969789637125</v>
      </c>
    </row>
    <row r="106" spans="2:6" x14ac:dyDescent="0.35">
      <c r="B106">
        <v>75</v>
      </c>
      <c r="C106" s="14">
        <f t="shared" si="2"/>
        <v>2.8188703252619702</v>
      </c>
      <c r="D106" s="14">
        <f t="shared" si="3"/>
        <v>4.8676887411380783</v>
      </c>
      <c r="E106" s="14">
        <f t="shared" si="4"/>
        <v>180.91978673609236</v>
      </c>
      <c r="F106" s="14">
        <f t="shared" si="5"/>
        <v>179.89603853342945</v>
      </c>
    </row>
    <row r="107" spans="2:6" x14ac:dyDescent="0.35">
      <c r="B107">
        <v>75.25</v>
      </c>
      <c r="C107" s="14">
        <f t="shared" si="2"/>
        <v>2.8170334605005287</v>
      </c>
      <c r="D107" s="14">
        <f t="shared" si="3"/>
        <v>4.8561911758446135</v>
      </c>
      <c r="E107" s="14">
        <f t="shared" si="4"/>
        <v>180.92352497900779</v>
      </c>
      <c r="F107" s="14">
        <f t="shared" si="5"/>
        <v>179.90219488736844</v>
      </c>
    </row>
    <row r="108" spans="2:6" x14ac:dyDescent="0.35">
      <c r="B108">
        <v>75.5</v>
      </c>
      <c r="C108" s="14">
        <f t="shared" si="2"/>
        <v>2.8152026337107117</v>
      </c>
      <c r="D108" s="14">
        <f t="shared" si="3"/>
        <v>4.8447609110885281</v>
      </c>
      <c r="E108" s="14">
        <f t="shared" si="4"/>
        <v>180.92709515611662</v>
      </c>
      <c r="F108" s="14">
        <f t="shared" si="5"/>
        <v>179.9081690211849</v>
      </c>
    </row>
    <row r="109" spans="2:6" x14ac:dyDescent="0.35">
      <c r="B109">
        <v>75.75</v>
      </c>
      <c r="C109" s="14">
        <f t="shared" si="2"/>
        <v>2.813377804344614</v>
      </c>
      <c r="D109" s="14">
        <f t="shared" si="3"/>
        <v>4.8333973316283281</v>
      </c>
      <c r="E109" s="14">
        <f t="shared" si="4"/>
        <v>180.93049917316148</v>
      </c>
      <c r="F109" s="14">
        <f t="shared" si="5"/>
        <v>179.91396297001606</v>
      </c>
    </row>
    <row r="110" spans="2:6" x14ac:dyDescent="0.35">
      <c r="B110">
        <v>76</v>
      </c>
      <c r="C110" s="14">
        <f t="shared" ref="C110:C173" si="6">SQRT(2/($C$33-1)*((B110/$H$20)^((1-$C$33)/$C$33) - 1))</f>
        <v>2.8115589322602648</v>
      </c>
      <c r="D110" s="14">
        <f t="shared" ref="D110:D173" si="7">1/C110*(2/($C$33+1)*(1 + ($C$33-1)/2*C110^2))^(($C$33+1)/(2*$C$33-2))</f>
        <v>4.8220998298599431</v>
      </c>
      <c r="E110" s="14">
        <f t="shared" si="4"/>
        <v>180.93373891008972</v>
      </c>
      <c r="F110" s="14">
        <f t="shared" si="5"/>
        <v>179.91957874159752</v>
      </c>
    </row>
    <row r="111" spans="2:6" x14ac:dyDescent="0.35">
      <c r="B111">
        <v>76.25</v>
      </c>
      <c r="C111" s="14">
        <f t="shared" si="6"/>
        <v>2.8097459777162319</v>
      </c>
      <c r="D111" s="14">
        <f t="shared" si="7"/>
        <v>4.8108678056970975</v>
      </c>
      <c r="E111" s="14">
        <f t="shared" ref="E111:E174" si="8">$C$37*$C$39/9.81*($C$33*SQRT(2/($C$33-1)*(2/($C$33+1))^(($C$33+1)/($C$33-1))*(1 - (B111/$H$20)^(($C$33-1)/$C$33))) + D111/$H$20*(B111 - $C$28))</f>
        <v>180.93681622147639</v>
      </c>
      <c r="F111" s="14">
        <f t="shared" ref="F111:F174" si="9">$C$37*$C$39/9.81*($C$33*SQRT(2/($C$33-1)*(2/($C$33+1))^(($C$33+1)/($C$33-1))*(1 - (B111/$H$20)^(($C$33-1)/$C$33))) + D111/$H$20*(B111 - $C$27))</f>
        <v>179.92501831671149</v>
      </c>
    </row>
    <row r="112" spans="2:6" x14ac:dyDescent="0.35">
      <c r="B112">
        <v>76.5</v>
      </c>
      <c r="C112" s="14">
        <f t="shared" si="6"/>
        <v>2.8079389013663252</v>
      </c>
      <c r="D112" s="14">
        <f t="shared" si="7"/>
        <v>4.7997006664539974</v>
      </c>
      <c r="E112" s="14">
        <f t="shared" si="8"/>
        <v>180.93973293693978</v>
      </c>
      <c r="F112" s="14">
        <f t="shared" si="9"/>
        <v>179.93028364962703</v>
      </c>
    </row>
    <row r="113" spans="2:6" x14ac:dyDescent="0.35">
      <c r="B113">
        <v>76.75</v>
      </c>
      <c r="C113" s="14">
        <f t="shared" si="6"/>
        <v>2.8061376642543805</v>
      </c>
      <c r="D113" s="14">
        <f t="shared" si="7"/>
        <v>4.7885978267301645</v>
      </c>
      <c r="E113" s="14">
        <f t="shared" si="8"/>
        <v>180.94249086154846</v>
      </c>
      <c r="F113" s="14">
        <f t="shared" si="9"/>
        <v>179.93537666853118</v>
      </c>
    </row>
    <row r="114" spans="2:6" x14ac:dyDescent="0.35">
      <c r="B114">
        <v>77</v>
      </c>
      <c r="C114" s="14">
        <f t="shared" si="6"/>
        <v>2.8043422278091343</v>
      </c>
      <c r="D114" s="14">
        <f t="shared" si="7"/>
        <v>4.7775587082974766</v>
      </c>
      <c r="E114" s="14">
        <f t="shared" si="8"/>
        <v>180.94509177622069</v>
      </c>
      <c r="F114" s="14">
        <f t="shared" si="9"/>
        <v>179.94029927595236</v>
      </c>
    </row>
    <row r="115" spans="2:6" x14ac:dyDescent="0.35">
      <c r="B115">
        <v>77.25</v>
      </c>
      <c r="C115" s="14">
        <f t="shared" si="6"/>
        <v>2.8025525538391767</v>
      </c>
      <c r="D115" s="14">
        <f t="shared" si="7"/>
        <v>4.7665827399892891</v>
      </c>
      <c r="E115" s="14">
        <f t="shared" si="8"/>
        <v>180.94753743811603</v>
      </c>
      <c r="F115" s="14">
        <f t="shared" si="9"/>
        <v>179.94505334917503</v>
      </c>
    </row>
    <row r="116" spans="2:6" x14ac:dyDescent="0.35">
      <c r="B116">
        <v>77.5</v>
      </c>
      <c r="C116" s="14">
        <f t="shared" si="6"/>
        <v>2.8007686045279918</v>
      </c>
      <c r="D116" s="14">
        <f t="shared" si="7"/>
        <v>4.7556693575916489</v>
      </c>
      <c r="E116" s="14">
        <f t="shared" si="8"/>
        <v>180.94982958101923</v>
      </c>
      <c r="F116" s="14">
        <f t="shared" si="9"/>
        <v>179.94964074064669</v>
      </c>
    </row>
    <row r="117" spans="2:6" x14ac:dyDescent="0.35">
      <c r="B117">
        <v>77.75</v>
      </c>
      <c r="C117" s="14">
        <f t="shared" si="6"/>
        <v>2.7989903424290761</v>
      </c>
      <c r="D117" s="14">
        <f t="shared" si="7"/>
        <v>4.7448180037365173</v>
      </c>
      <c r="E117" s="14">
        <f t="shared" si="8"/>
        <v>180.95196991571737</v>
      </c>
      <c r="F117" s="14">
        <f t="shared" si="9"/>
        <v>179.95406327837716</v>
      </c>
    </row>
    <row r="118" spans="2:6" x14ac:dyDescent="0.35">
      <c r="B118">
        <v>78</v>
      </c>
      <c r="C118" s="14">
        <f t="shared" si="6"/>
        <v>2.7972177304611359</v>
      </c>
      <c r="D118" s="14">
        <f t="shared" si="7"/>
        <v>4.7340281277969503</v>
      </c>
      <c r="E118" s="14">
        <f t="shared" si="8"/>
        <v>180.9539601303691</v>
      </c>
      <c r="F118" s="14">
        <f t="shared" si="9"/>
        <v>179.95832276633035</v>
      </c>
    </row>
    <row r="119" spans="2:6" x14ac:dyDescent="0.35">
      <c r="B119">
        <v>78.25</v>
      </c>
      <c r="C119" s="14">
        <f t="shared" si="6"/>
        <v>2.7954507319033639</v>
      </c>
      <c r="D119" s="14">
        <f t="shared" si="7"/>
        <v>4.7232991857842794</v>
      </c>
      <c r="E119" s="14">
        <f t="shared" si="8"/>
        <v>180.95580189086712</v>
      </c>
      <c r="F119" s="14">
        <f t="shared" si="9"/>
        <v>179.96242098480795</v>
      </c>
    </row>
    <row r="120" spans="2:6" x14ac:dyDescent="0.35">
      <c r="B120">
        <v>78.5</v>
      </c>
      <c r="C120" s="14">
        <f t="shared" si="6"/>
        <v>2.7936893103907892</v>
      </c>
      <c r="D120" s="14">
        <f t="shared" si="7"/>
        <v>4.7126306402470775</v>
      </c>
      <c r="E120" s="14">
        <f t="shared" si="8"/>
        <v>180.95749684119406</v>
      </c>
      <c r="F120" s="14">
        <f t="shared" si="9"/>
        <v>179.96635969082666</v>
      </c>
    </row>
    <row r="121" spans="2:6" x14ac:dyDescent="0.35">
      <c r="B121">
        <v>78.75</v>
      </c>
      <c r="C121" s="14">
        <f t="shared" si="6"/>
        <v>2.7919334299097032</v>
      </c>
      <c r="D121" s="14">
        <f t="shared" si="7"/>
        <v>4.7020219601720852</v>
      </c>
      <c r="E121" s="14">
        <f t="shared" si="8"/>
        <v>180.95904660377124</v>
      </c>
      <c r="F121" s="14">
        <f>$C$37*$C$39/9.81*($C$33*SQRT(2/($C$33-1)*(2/($C$33+1))^(($C$33+1)/($C$33-1))*(1 - (B121/$H$20)^(($C$33-1)/$C$33))) + D121/$H$20*(B121 - $C$27))</f>
        <v>179.9701406184879</v>
      </c>
    </row>
    <row r="122" spans="2:6" x14ac:dyDescent="0.35">
      <c r="B122">
        <v>79</v>
      </c>
      <c r="C122" s="14">
        <f t="shared" si="6"/>
        <v>2.7901830547931614</v>
      </c>
      <c r="D122" s="14">
        <f t="shared" si="7"/>
        <v>4.6914726208869091</v>
      </c>
      <c r="E122" s="14">
        <f t="shared" si="8"/>
        <v>180.96045277980087</v>
      </c>
      <c r="F122" s="14">
        <f t="shared" si="9"/>
        <v>179.97376547934044</v>
      </c>
    </row>
    <row r="123" spans="2:6" x14ac:dyDescent="0.35">
      <c r="B123">
        <v>79.25</v>
      </c>
      <c r="C123" s="14">
        <f t="shared" si="6"/>
        <v>2.7884381497165531</v>
      </c>
      <c r="D123" s="14">
        <f t="shared" si="7"/>
        <v>4.6809821039644497</v>
      </c>
      <c r="E123" s="14">
        <f t="shared" si="8"/>
        <v>180.96171694960231</v>
      </c>
      <c r="F123" s="14">
        <f t="shared" si="9"/>
        <v>179.97723596273656</v>
      </c>
    </row>
    <row r="124" spans="2:6" x14ac:dyDescent="0.35">
      <c r="B124">
        <v>79.5</v>
      </c>
      <c r="C124" s="14">
        <f t="shared" si="6"/>
        <v>2.7866986796932394</v>
      </c>
      <c r="D124" s="14">
        <f t="shared" si="7"/>
        <v>4.6705498971291277</v>
      </c>
      <c r="E124" s="14">
        <f t="shared" si="8"/>
        <v>180.96284067294121</v>
      </c>
      <c r="F124" s="14">
        <f t="shared" si="9"/>
        <v>179.98055373618129</v>
      </c>
    </row>
    <row r="125" spans="2:6" x14ac:dyDescent="0.35">
      <c r="B125">
        <v>79.75</v>
      </c>
      <c r="C125" s="14">
        <f t="shared" si="6"/>
        <v>2.7849646100702703</v>
      </c>
      <c r="D125" s="14">
        <f t="shared" si="7"/>
        <v>4.6601754941647897</v>
      </c>
      <c r="E125" s="14">
        <f t="shared" si="8"/>
        <v>180.96382548935341</v>
      </c>
      <c r="F125" s="14">
        <f t="shared" si="9"/>
        <v>179.98372044567523</v>
      </c>
    </row>
    <row r="126" spans="2:6" x14ac:dyDescent="0.35">
      <c r="B126">
        <v>80</v>
      </c>
      <c r="C126" s="14">
        <f t="shared" si="6"/>
        <v>2.7832359065241565</v>
      </c>
      <c r="D126" s="14">
        <f t="shared" si="7"/>
        <v>4.6498583948242702</v>
      </c>
      <c r="E126" s="14">
        <f t="shared" si="8"/>
        <v>180.96467291846187</v>
      </c>
      <c r="F126" s="14">
        <f t="shared" si="9"/>
        <v>179.9867377160509</v>
      </c>
    </row>
    <row r="127" spans="2:6" x14ac:dyDescent="0.35">
      <c r="B127">
        <v>80.25</v>
      </c>
      <c r="C127" s="14">
        <f t="shared" si="6"/>
        <v>2.7815125350567174</v>
      </c>
      <c r="D127" s="14">
        <f t="shared" si="7"/>
        <v>4.6395981047405659</v>
      </c>
      <c r="E127" s="14">
        <f t="shared" si="8"/>
        <v>180.96538446028853</v>
      </c>
      <c r="F127" s="14">
        <f t="shared" si="9"/>
        <v>179.98960715130312</v>
      </c>
    </row>
    <row r="128" spans="2:6" x14ac:dyDescent="0.35">
      <c r="B128">
        <v>80.5</v>
      </c>
      <c r="C128" s="14">
        <f t="shared" si="6"/>
        <v>2.7797944619909902</v>
      </c>
      <c r="D128" s="14">
        <f t="shared" si="7"/>
        <v>4.6293941353396448</v>
      </c>
      <c r="E128" s="14">
        <f t="shared" si="8"/>
        <v>180.96596159556</v>
      </c>
      <c r="F128" s="14">
        <f t="shared" si="9"/>
        <v>179.99233033491285</v>
      </c>
    </row>
    <row r="129" spans="2:7" x14ac:dyDescent="0.35">
      <c r="B129">
        <v>80.75</v>
      </c>
      <c r="C129" s="14">
        <f t="shared" si="6"/>
        <v>2.7780816539672042</v>
      </c>
      <c r="D129" s="14">
        <f t="shared" si="7"/>
        <v>4.6192460037547818</v>
      </c>
      <c r="E129" s="14">
        <f t="shared" si="8"/>
        <v>180.96640578600756</v>
      </c>
      <c r="F129" s="14">
        <f t="shared" si="9"/>
        <v>179.9949088301656</v>
      </c>
    </row>
    <row r="130" spans="2:7" x14ac:dyDescent="0.35">
      <c r="B130">
        <v>81</v>
      </c>
      <c r="C130" s="14">
        <f t="shared" si="6"/>
        <v>2.7763740779388146</v>
      </c>
      <c r="D130" s="14">
        <f t="shared" si="7"/>
        <v>4.6091532327424254</v>
      </c>
      <c r="E130" s="14">
        <f t="shared" si="8"/>
        <v>180.9667184746618</v>
      </c>
      <c r="F130" s="14">
        <f t="shared" si="9"/>
        <v>179.99734418046347</v>
      </c>
    </row>
    <row r="131" spans="2:7" x14ac:dyDescent="0.35">
      <c r="B131">
        <v>81.25</v>
      </c>
      <c r="C131" s="14">
        <f t="shared" si="6"/>
        <v>2.7746717011686068</v>
      </c>
      <c r="D131" s="14">
        <f t="shared" si="7"/>
        <v>4.5991153505995888</v>
      </c>
      <c r="E131" s="14">
        <f t="shared" si="8"/>
        <v>180.96690108614175</v>
      </c>
      <c r="F131" s="14">
        <f t="shared" si="9"/>
        <v>179.99963790963164</v>
      </c>
    </row>
    <row r="132" spans="2:7" x14ac:dyDescent="0.35">
      <c r="B132" s="19">
        <v>81.5</v>
      </c>
      <c r="C132" s="20">
        <f t="shared" si="6"/>
        <v>2.7729744912248475</v>
      </c>
      <c r="D132" s="20">
        <f t="shared" si="7"/>
        <v>4.5891318910826646</v>
      </c>
      <c r="E132" s="20">
        <f t="shared" si="8"/>
        <v>180.96695502693882</v>
      </c>
      <c r="F132" s="20">
        <f>$C$37*$C$39/9.81*($C$33*SQRT(2/($C$33-1)*(2/($C$33+1))^(($C$33+1)/($C$33-1))*(1 - (B132/$H$20)^(($C$33-1)/$C$33))) + D132/$H$20*(B132 - $C$27))</f>
        <v>180.00179152221963</v>
      </c>
      <c r="G132" s="11" t="s">
        <v>49</v>
      </c>
    </row>
    <row r="133" spans="2:7" x14ac:dyDescent="0.35">
      <c r="B133">
        <v>81.75</v>
      </c>
      <c r="C133" s="14">
        <f t="shared" si="6"/>
        <v>2.7712824159775105</v>
      </c>
      <c r="D133" s="14">
        <f t="shared" si="7"/>
        <v>4.5792023933276909</v>
      </c>
      <c r="E133" s="14">
        <f t="shared" si="8"/>
        <v>180.96688168569537</v>
      </c>
      <c r="F133" s="14">
        <f t="shared" si="9"/>
        <v>180.00380650379645</v>
      </c>
    </row>
    <row r="134" spans="2:7" x14ac:dyDescent="0.35">
      <c r="B134">
        <v>82</v>
      </c>
      <c r="C134" s="14">
        <f t="shared" si="6"/>
        <v>2.7695954435945449</v>
      </c>
      <c r="D134" s="14">
        <f t="shared" si="7"/>
        <v>4.5693264017720363</v>
      </c>
      <c r="E134" s="14">
        <f t="shared" si="8"/>
        <v>180.96668243347858</v>
      </c>
      <c r="F134" s="14">
        <f t="shared" si="9"/>
        <v>180.00568432124089</v>
      </c>
    </row>
    <row r="135" spans="2:7" x14ac:dyDescent="0.35">
      <c r="B135">
        <v>82.25</v>
      </c>
      <c r="C135" s="14">
        <f t="shared" si="6"/>
        <v>2.7679135425382158</v>
      </c>
      <c r="D135" s="14">
        <f t="shared" si="7"/>
        <v>4.5595034660774365</v>
      </c>
      <c r="E135" s="14">
        <f t="shared" si="8"/>
        <v>180.96635862404884</v>
      </c>
      <c r="F135" s="14">
        <f t="shared" si="9"/>
        <v>180.00742642302629</v>
      </c>
    </row>
    <row r="136" spans="2:7" x14ac:dyDescent="0.35">
      <c r="B136">
        <v>82.5</v>
      </c>
      <c r="C136" s="14">
        <f t="shared" si="6"/>
        <v>2.7662366815614905</v>
      </c>
      <c r="D136" s="14">
        <f t="shared" si="7"/>
        <v>4.5497331410544044</v>
      </c>
      <c r="E136" s="14">
        <f t="shared" si="8"/>
        <v>180.96591159412367</v>
      </c>
      <c r="F136" s="14">
        <f t="shared" si="9"/>
        <v>180.00903423950024</v>
      </c>
    </row>
    <row r="137" spans="2:7" x14ac:dyDescent="0.35">
      <c r="B137">
        <v>82.75</v>
      </c>
      <c r="C137" s="14">
        <f t="shared" si="6"/>
        <v>2.7645648297044825</v>
      </c>
      <c r="D137" s="14">
        <f t="shared" si="7"/>
        <v>4.5400149865879174</v>
      </c>
      <c r="E137" s="14">
        <f t="shared" si="8"/>
        <v>180.96534266363679</v>
      </c>
      <c r="F137" s="14">
        <f t="shared" si="9"/>
        <v>180.01050918315929</v>
      </c>
    </row>
    <row r="138" spans="2:7" x14ac:dyDescent="0.35">
      <c r="B138">
        <v>83</v>
      </c>
      <c r="C138" s="14">
        <f t="shared" si="6"/>
        <v>2.7628979562909532</v>
      </c>
      <c r="D138" s="14">
        <f t="shared" si="7"/>
        <v>4.5303485675644639</v>
      </c>
      <c r="E138" s="14">
        <f t="shared" si="8"/>
        <v>180.96465313599253</v>
      </c>
      <c r="F138" s="14">
        <f t="shared" si="9"/>
        <v>180.01185264891859</v>
      </c>
    </row>
    <row r="139" spans="2:7" x14ac:dyDescent="0.35">
      <c r="B139">
        <v>83.25</v>
      </c>
      <c r="C139" s="14">
        <f t="shared" si="6"/>
        <v>2.7612360309248616</v>
      </c>
      <c r="D139" s="14">
        <f t="shared" si="7"/>
        <v>4.5207334538002835</v>
      </c>
      <c r="E139" s="14">
        <f t="shared" si="8"/>
        <v>180.96384429831551</v>
      </c>
      <c r="F139" s="14">
        <f t="shared" si="9"/>
        <v>180.01306601437699</v>
      </c>
    </row>
    <row r="140" spans="2:7" x14ac:dyDescent="0.35">
      <c r="B140">
        <v>83.5</v>
      </c>
      <c r="C140" s="14">
        <f t="shared" si="6"/>
        <v>2.7595790234869693</v>
      </c>
      <c r="D140" s="14">
        <f t="shared" si="7"/>
        <v>4.5111692199709035</v>
      </c>
      <c r="E140" s="14">
        <f t="shared" si="8"/>
        <v>180.96291742169623</v>
      </c>
      <c r="F140" s="14">
        <f t="shared" si="9"/>
        <v>180.01415064007705</v>
      </c>
    </row>
    <row r="141" spans="2:7" x14ac:dyDescent="0.35">
      <c r="B141">
        <v>83.75</v>
      </c>
      <c r="C141" s="14">
        <f t="shared" si="6"/>
        <v>2.7579269041314949</v>
      </c>
      <c r="D141" s="14">
        <f t="shared" si="7"/>
        <v>4.5016554455418332</v>
      </c>
      <c r="E141" s="14">
        <f t="shared" si="8"/>
        <v>180.96187376143175</v>
      </c>
      <c r="F141" s="14">
        <f t="shared" si="9"/>
        <v>180.01510786976061</v>
      </c>
    </row>
    <row r="142" spans="2:7" x14ac:dyDescent="0.35">
      <c r="B142">
        <v>84</v>
      </c>
      <c r="C142" s="14">
        <f t="shared" si="6"/>
        <v>2.7562796432828227</v>
      </c>
      <c r="D142" s="14">
        <f t="shared" si="7"/>
        <v>4.4921917147005539</v>
      </c>
      <c r="E142" s="14">
        <f t="shared" si="8"/>
        <v>180.96071455726289</v>
      </c>
      <c r="F142" s="14">
        <f t="shared" si="9"/>
        <v>180.0159390306201</v>
      </c>
    </row>
    <row r="143" spans="2:7" x14ac:dyDescent="0.35">
      <c r="B143">
        <v>84.25</v>
      </c>
      <c r="C143" s="14">
        <f t="shared" si="6"/>
        <v>2.7546372116322533</v>
      </c>
      <c r="D143" s="14">
        <f t="shared" si="7"/>
        <v>4.4827776162895345</v>
      </c>
      <c r="E143" s="14">
        <f t="shared" si="8"/>
        <v>180.95944103360603</v>
      </c>
      <c r="F143" s="14">
        <f t="shared" si="9"/>
        <v>180.01664543354448</v>
      </c>
    </row>
    <row r="144" spans="2:7" x14ac:dyDescent="0.35">
      <c r="B144">
        <v>84.5</v>
      </c>
      <c r="C144" s="14">
        <f t="shared" si="6"/>
        <v>2.7529995801348122</v>
      </c>
      <c r="D144" s="14">
        <f t="shared" si="7"/>
        <v>4.4734127437405125</v>
      </c>
      <c r="E144" s="14">
        <f t="shared" si="8"/>
        <v>180.95805439978218</v>
      </c>
      <c r="F144" s="14">
        <f t="shared" si="9"/>
        <v>180.01722837336231</v>
      </c>
    </row>
    <row r="145" spans="2:7" x14ac:dyDescent="0.35">
      <c r="B145">
        <v>84.75</v>
      </c>
      <c r="C145" s="14">
        <f t="shared" si="6"/>
        <v>2.7513667200060947</v>
      </c>
      <c r="D145" s="14">
        <f t="shared" si="7"/>
        <v>4.4640966950098164</v>
      </c>
      <c r="E145" s="14">
        <f t="shared" si="8"/>
        <v>180.95655585024099</v>
      </c>
      <c r="F145" s="14">
        <f t="shared" si="9"/>
        <v>180.01768912907895</v>
      </c>
    </row>
    <row r="146" spans="2:7" x14ac:dyDescent="0.35">
      <c r="B146">
        <v>85</v>
      </c>
      <c r="C146" s="14">
        <f t="shared" si="6"/>
        <v>2.7497386027191704</v>
      </c>
      <c r="D146" s="14">
        <f t="shared" si="7"/>
        <v>4.4548290725148396</v>
      </c>
      <c r="E146" s="14">
        <f t="shared" si="8"/>
        <v>180.95494656478124</v>
      </c>
      <c r="F146" s="14">
        <f t="shared" si="9"/>
        <v>180.01802896411081</v>
      </c>
    </row>
    <row r="147" spans="2:7" x14ac:dyDescent="0.35">
      <c r="B147">
        <v>85.25</v>
      </c>
      <c r="C147" s="14">
        <f t="shared" si="6"/>
        <v>2.7481152000015232</v>
      </c>
      <c r="D147" s="14">
        <f t="shared" si="7"/>
        <v>4.4456094830715625</v>
      </c>
      <c r="E147" s="14">
        <f t="shared" si="8"/>
        <v>180.95322770876749</v>
      </c>
      <c r="F147" s="14">
        <f t="shared" si="9"/>
        <v>180.018249126515</v>
      </c>
    </row>
    <row r="148" spans="2:7" x14ac:dyDescent="0.35">
      <c r="B148">
        <v>85.5</v>
      </c>
      <c r="C148" s="14">
        <f t="shared" si="6"/>
        <v>2.7464964838320416</v>
      </c>
      <c r="D148" s="14">
        <f t="shared" si="7"/>
        <v>4.436437537833128</v>
      </c>
      <c r="E148" s="14">
        <f t="shared" si="8"/>
        <v>180.95140043334277</v>
      </c>
      <c r="F148" s="14">
        <f t="shared" si="9"/>
        <v>180.01835084921487</v>
      </c>
      <c r="G148" s="11"/>
    </row>
    <row r="149" spans="2:7" x14ac:dyDescent="0.35">
      <c r="B149">
        <v>85.75</v>
      </c>
      <c r="C149" s="14">
        <f t="shared" si="6"/>
        <v>2.7448824264380516</v>
      </c>
      <c r="D149" s="14">
        <f t="shared" si="7"/>
        <v>4.4273128522294742</v>
      </c>
      <c r="E149" s="14">
        <f t="shared" si="8"/>
        <v>180.94946587563763</v>
      </c>
      <c r="F149" s="14">
        <f t="shared" si="9"/>
        <v>180.01833535022186</v>
      </c>
    </row>
    <row r="150" spans="2:7" x14ac:dyDescent="0.35">
      <c r="B150">
        <v>86</v>
      </c>
      <c r="C150" s="14">
        <f t="shared" si="6"/>
        <v>2.7432730002923948</v>
      </c>
      <c r="D150" s="14">
        <f t="shared" si="7"/>
        <v>4.418235045907946</v>
      </c>
      <c r="E150" s="14">
        <f t="shared" si="8"/>
        <v>180.9474251589757</v>
      </c>
      <c r="F150" s="14">
        <f t="shared" si="9"/>
        <v>180.01820383285349</v>
      </c>
    </row>
    <row r="151" spans="2:7" x14ac:dyDescent="0.35">
      <c r="B151">
        <v>86.25</v>
      </c>
      <c r="C151" s="14">
        <f t="shared" si="6"/>
        <v>2.741668178110547</v>
      </c>
      <c r="D151" s="14">
        <f t="shared" si="7"/>
        <v>4.4092037426749426</v>
      </c>
      <c r="E151" s="14">
        <f t="shared" si="8"/>
        <v>180.94527939307559</v>
      </c>
      <c r="F151" s="14">
        <f t="shared" si="9"/>
        <v>180.01795748594751</v>
      </c>
    </row>
    <row r="152" spans="2:7" x14ac:dyDescent="0.35">
      <c r="B152">
        <v>86.5</v>
      </c>
      <c r="C152" s="14">
        <f t="shared" si="6"/>
        <v>2.7400679328477793</v>
      </c>
      <c r="D152" s="14">
        <f t="shared" si="7"/>
        <v>4.4002185704385042</v>
      </c>
      <c r="E152" s="14">
        <f t="shared" si="8"/>
        <v>180.94302967424909</v>
      </c>
      <c r="F152" s="14">
        <f t="shared" si="9"/>
        <v>180.0175974840723</v>
      </c>
    </row>
    <row r="153" spans="2:7" x14ac:dyDescent="0.35">
      <c r="B153">
        <v>86.75</v>
      </c>
      <c r="C153" s="14">
        <f t="shared" si="6"/>
        <v>2.7384722376963655</v>
      </c>
      <c r="D153" s="14">
        <f t="shared" si="7"/>
        <v>4.3912791611518811</v>
      </c>
      <c r="E153" s="14">
        <f t="shared" si="8"/>
        <v>180.94067708559629</v>
      </c>
      <c r="F153" s="14">
        <f t="shared" si="9"/>
        <v>180.01712498773367</v>
      </c>
    </row>
    <row r="154" spans="2:7" x14ac:dyDescent="0.35">
      <c r="B154">
        <v>87</v>
      </c>
      <c r="C154" s="14">
        <f t="shared" si="6"/>
        <v>2.7368810660828213</v>
      </c>
      <c r="D154" s="14">
        <f t="shared" si="7"/>
        <v>4.3823851507580169</v>
      </c>
      <c r="E154" s="14">
        <f t="shared" si="8"/>
        <v>180.93822269719715</v>
      </c>
      <c r="F154" s="14">
        <f t="shared" si="9"/>
        <v>180.01654114357831</v>
      </c>
    </row>
    <row r="155" spans="2:7" x14ac:dyDescent="0.35">
      <c r="B155">
        <v>87.25</v>
      </c>
      <c r="C155" s="14">
        <f t="shared" si="6"/>
        <v>2.7352943916651893</v>
      </c>
      <c r="D155" s="14">
        <f t="shared" si="7"/>
        <v>4.373536179134967</v>
      </c>
      <c r="E155" s="14">
        <f t="shared" si="8"/>
        <v>180.93566756629994</v>
      </c>
      <c r="F155" s="14">
        <f t="shared" si="9"/>
        <v>180.01584708459353</v>
      </c>
    </row>
    <row r="156" spans="2:7" x14ac:dyDescent="0.35">
      <c r="B156">
        <v>87.5</v>
      </c>
      <c r="C156" s="14">
        <f t="shared" si="6"/>
        <v>2.7337121883303626</v>
      </c>
      <c r="D156" s="14">
        <f t="shared" si="7"/>
        <v>4.3647318900422105</v>
      </c>
      <c r="E156" s="14">
        <f t="shared" si="8"/>
        <v>180.93301273750612</v>
      </c>
      <c r="F156" s="14">
        <f t="shared" si="9"/>
        <v>180.01504393030348</v>
      </c>
    </row>
    <row r="157" spans="2:7" x14ac:dyDescent="0.35">
      <c r="B157">
        <v>87.75</v>
      </c>
      <c r="C157" s="14">
        <f t="shared" si="6"/>
        <v>2.732134430191445</v>
      </c>
      <c r="D157" s="14">
        <f t="shared" si="7"/>
        <v>4.3559719310678338</v>
      </c>
      <c r="E157" s="14">
        <f t="shared" si="8"/>
        <v>180.9302592429527</v>
      </c>
      <c r="F157" s="14">
        <f t="shared" si="9"/>
        <v>180.01413278696282</v>
      </c>
    </row>
    <row r="158" spans="2:7" x14ac:dyDescent="0.35">
      <c r="B158">
        <v>88</v>
      </c>
      <c r="C158" s="14">
        <f t="shared" si="6"/>
        <v>2.7305610915851535</v>
      </c>
      <c r="D158" s="14">
        <f t="shared" si="7"/>
        <v>4.3472559535766351</v>
      </c>
      <c r="E158" s="14">
        <f t="shared" si="8"/>
        <v>180.92740810249066</v>
      </c>
      <c r="F158" s="14">
        <f t="shared" si="9"/>
        <v>180.01311474774565</v>
      </c>
    </row>
    <row r="159" spans="2:7" x14ac:dyDescent="0.35">
      <c r="B159">
        <v>88.25</v>
      </c>
      <c r="C159" s="14">
        <f t="shared" si="6"/>
        <v>2.7289921470692495</v>
      </c>
      <c r="D159" s="14">
        <f t="shared" si="7"/>
        <v>4.338583612658983</v>
      </c>
      <c r="E159" s="14">
        <f t="shared" si="8"/>
        <v>180.9244603238611</v>
      </c>
      <c r="F159" s="14">
        <f t="shared" si="9"/>
        <v>180.01199089293277</v>
      </c>
    </row>
    <row r="160" spans="2:7" x14ac:dyDescent="0.35">
      <c r="B160">
        <v>88.5</v>
      </c>
      <c r="C160" s="14">
        <f t="shared" si="6"/>
        <v>2.7274275714200171</v>
      </c>
      <c r="D160" s="14">
        <f t="shared" si="7"/>
        <v>4.3299545670806054</v>
      </c>
      <c r="E160" s="14">
        <f t="shared" si="8"/>
        <v>180.92141690286797</v>
      </c>
      <c r="F160" s="14">
        <f t="shared" si="9"/>
        <v>180.01076229009493</v>
      </c>
    </row>
    <row r="161" spans="2:6" x14ac:dyDescent="0.35">
      <c r="B161">
        <v>88.75</v>
      </c>
      <c r="C161" s="14">
        <f t="shared" si="6"/>
        <v>2.7258673396297679</v>
      </c>
      <c r="D161" s="14">
        <f t="shared" si="7"/>
        <v>4.3213684792331444</v>
      </c>
      <c r="E161" s="14">
        <f t="shared" si="8"/>
        <v>180.91827882354815</v>
      </c>
      <c r="F161" s="14">
        <f t="shared" si="9"/>
        <v>180.00942999427301</v>
      </c>
    </row>
    <row r="162" spans="2:6" x14ac:dyDescent="0.35">
      <c r="B162">
        <v>89</v>
      </c>
      <c r="C162" s="14">
        <f t="shared" si="6"/>
        <v>2.7243114269043898</v>
      </c>
      <c r="D162" s="14">
        <f t="shared" si="7"/>
        <v>4.3128250150855187</v>
      </c>
      <c r="E162" s="14">
        <f t="shared" si="8"/>
        <v>180.9150470583383</v>
      </c>
      <c r="F162" s="14">
        <f t="shared" si="9"/>
        <v>180.00799504815552</v>
      </c>
    </row>
    <row r="163" spans="2:6" x14ac:dyDescent="0.35">
      <c r="B163">
        <v>89.25</v>
      </c>
      <c r="C163" s="14">
        <f t="shared" si="6"/>
        <v>2.7227598086609208</v>
      </c>
      <c r="D163" s="14">
        <f t="shared" si="7"/>
        <v>4.3043238441360732</v>
      </c>
      <c r="E163" s="14">
        <f t="shared" si="8"/>
        <v>180.91172256823953</v>
      </c>
      <c r="F163" s="14">
        <f t="shared" si="9"/>
        <v>180.00645848225295</v>
      </c>
    </row>
    <row r="164" spans="2:6" x14ac:dyDescent="0.35">
      <c r="B164">
        <v>89.5</v>
      </c>
      <c r="C164" s="14">
        <f t="shared" si="6"/>
        <v>2.7212124605251673</v>
      </c>
      <c r="D164" s="14">
        <f t="shared" si="7"/>
        <v>4.2958646393655178</v>
      </c>
      <c r="E164" s="14">
        <f t="shared" si="8"/>
        <v>180.9083063029785</v>
      </c>
      <c r="F164" s="14">
        <f t="shared" si="9"/>
        <v>180.00482131506917</v>
      </c>
    </row>
    <row r="165" spans="2:6" x14ac:dyDescent="0.35">
      <c r="B165">
        <v>89.75</v>
      </c>
      <c r="C165" s="14">
        <f t="shared" si="6"/>
        <v>2.7196693583293481</v>
      </c>
      <c r="D165" s="14">
        <f t="shared" si="7"/>
        <v>4.2874470771906017</v>
      </c>
      <c r="E165" s="14">
        <f t="shared" si="8"/>
        <v>180.90479920116667</v>
      </c>
      <c r="F165" s="14">
        <f t="shared" si="9"/>
        <v>180.00308455326993</v>
      </c>
    </row>
    <row r="166" spans="2:6" x14ac:dyDescent="0.35">
      <c r="B166">
        <v>90</v>
      </c>
      <c r="C166" s="14">
        <f t="shared" si="6"/>
        <v>2.7181304781097739</v>
      </c>
      <c r="D166" s="14">
        <f t="shared" si="7"/>
        <v>4.279070837418554</v>
      </c>
      <c r="E166" s="14">
        <f t="shared" si="8"/>
        <v>180.90120219045616</v>
      </c>
      <c r="F166" s="14">
        <f t="shared" si="9"/>
        <v>180.00124919184881</v>
      </c>
    </row>
    <row r="167" spans="2:6" x14ac:dyDescent="0.35">
      <c r="B167">
        <v>90.25</v>
      </c>
      <c r="C167" s="14">
        <f t="shared" si="6"/>
        <v>2.7165957961045621</v>
      </c>
      <c r="D167" s="14">
        <f t="shared" si="7"/>
        <v>4.2707356032022172</v>
      </c>
      <c r="E167" s="14">
        <f t="shared" si="8"/>
        <v>180.89751618769364</v>
      </c>
      <c r="F167" s="14">
        <f t="shared" si="9"/>
        <v>179.99931621429013</v>
      </c>
    </row>
    <row r="168" spans="2:6" x14ac:dyDescent="0.35">
      <c r="B168">
        <v>90.5</v>
      </c>
      <c r="C168" s="14">
        <f t="shared" si="6"/>
        <v>2.7150652887513802</v>
      </c>
      <c r="D168" s="14">
        <f t="shared" si="7"/>
        <v>4.2624410609959513</v>
      </c>
      <c r="E168" s="14">
        <f t="shared" si="8"/>
        <v>180.89374209907137</v>
      </c>
      <c r="F168" s="14">
        <f t="shared" si="9"/>
        <v>179.99728659272961</v>
      </c>
    </row>
    <row r="169" spans="2:6" x14ac:dyDescent="0.35">
      <c r="B169">
        <v>90.75</v>
      </c>
      <c r="C169" s="14">
        <f t="shared" si="6"/>
        <v>2.7135389326852186</v>
      </c>
      <c r="D169" s="14">
        <f t="shared" si="7"/>
        <v>4.2541869005121749</v>
      </c>
      <c r="E169" s="14">
        <f t="shared" si="8"/>
        <v>180.88988082027558</v>
      </c>
      <c r="F169" s="14">
        <f t="shared" si="9"/>
        <v>179.99516128811149</v>
      </c>
    </row>
    <row r="170" spans="2:6" x14ac:dyDescent="0.35">
      <c r="B170">
        <v>91</v>
      </c>
      <c r="C170" s="14">
        <f t="shared" si="6"/>
        <v>2.7120167047362025</v>
      </c>
      <c r="D170" s="14">
        <f t="shared" si="7"/>
        <v>4.2459728146786517</v>
      </c>
      <c r="E170" s="14">
        <f t="shared" si="8"/>
        <v>180.88593323663272</v>
      </c>
      <c r="F170" s="14">
        <f t="shared" si="9"/>
        <v>179.99294125034427</v>
      </c>
    </row>
    <row r="171" spans="2:6" x14ac:dyDescent="0.35">
      <c r="B171">
        <v>91.25</v>
      </c>
      <c r="C171" s="14">
        <f t="shared" si="6"/>
        <v>2.710498581927423</v>
      </c>
      <c r="D171" s="14">
        <f t="shared" si="7"/>
        <v>4.2377984995964173</v>
      </c>
      <c r="E171" s="14">
        <f t="shared" si="8"/>
        <v>180.88190022325335</v>
      </c>
      <c r="F171" s="14">
        <f t="shared" si="9"/>
        <v>179.99062741845299</v>
      </c>
    </row>
    <row r="172" spans="2:6" x14ac:dyDescent="0.35">
      <c r="B172">
        <v>91.5</v>
      </c>
      <c r="C172" s="14">
        <f t="shared" si="6"/>
        <v>2.708984541472808</v>
      </c>
      <c r="D172" s="14">
        <f t="shared" si="7"/>
        <v>4.2296636544983937</v>
      </c>
      <c r="E172" s="14">
        <f t="shared" si="8"/>
        <v>180.87778264517328</v>
      </c>
      <c r="F172" s="14">
        <f t="shared" si="9"/>
        <v>179.98822072072926</v>
      </c>
    </row>
    <row r="173" spans="2:6" x14ac:dyDescent="0.35">
      <c r="B173">
        <v>91.75</v>
      </c>
      <c r="C173" s="14">
        <f t="shared" si="6"/>
        <v>2.707474560775017</v>
      </c>
      <c r="D173" s="14">
        <f t="shared" si="7"/>
        <v>4.2215679817086329</v>
      </c>
      <c r="E173" s="14">
        <f t="shared" si="8"/>
        <v>180.87358135749272</v>
      </c>
      <c r="F173" s="14">
        <f t="shared" si="9"/>
        <v>179.98572207487905</v>
      </c>
    </row>
    <row r="174" spans="2:6" x14ac:dyDescent="0.35">
      <c r="B174">
        <v>92</v>
      </c>
      <c r="C174" s="14">
        <f t="shared" ref="C174:C226" si="10">SQRT(2/($C$33-1)*((B174/$H$20)^((1-$C$33)/$C$33) - 1))</f>
        <v>2.7059686174233644</v>
      </c>
      <c r="D174" s="14">
        <f t="shared" ref="D174:D226" si="11">1/C174*(2/($C$33+1)*(1 + ($C$33-1)/2*C174^2))^(($C$33+1)/(2*$C$33-2))</f>
        <v>4.2135111866022248</v>
      </c>
      <c r="E174" s="14">
        <f t="shared" si="8"/>
        <v>180.86929720551319</v>
      </c>
      <c r="F174" s="14">
        <f t="shared" si="9"/>
        <v>179.98313238816795</v>
      </c>
    </row>
    <row r="175" spans="2:6" x14ac:dyDescent="0.35">
      <c r="B175">
        <v>92.25</v>
      </c>
      <c r="C175" s="14">
        <f t="shared" si="10"/>
        <v>2.7044666891917766</v>
      </c>
      <c r="D175" s="14">
        <f t="shared" si="11"/>
        <v>4.2054929775658128</v>
      </c>
      <c r="E175" s="14">
        <f t="shared" ref="E175:E226" si="12">$C$37*$C$39/9.81*($C$33*SQRT(2/($C$33-1)*(2/($C$33+1))^(($C$33+1)/($C$33-1))*(1 - (B175/$H$20)^(($C$33-1)/$C$33))) + D175/$H$20*(B175 - $C$28))</f>
        <v>180.86493102487199</v>
      </c>
      <c r="F175" s="14">
        <f t="shared" ref="F175:F226" si="13">$C$37*$C$39/9.81*($C$33*SQRT(2/($C$33-1)*(2/($C$33+1))^(($C$33+1)/($C$33-1))*(1 - (B175/$H$20)^(($C$33-1)/$C$33))) + D175/$H$20*(B175 - $C$27))</f>
        <v>179.98045255756395</v>
      </c>
    </row>
    <row r="176" spans="2:6" x14ac:dyDescent="0.35">
      <c r="B176">
        <v>92.5</v>
      </c>
      <c r="C176" s="14">
        <f t="shared" si="10"/>
        <v>2.7029687540367702</v>
      </c>
      <c r="D176" s="14">
        <f t="shared" si="11"/>
        <v>4.1975130659587325</v>
      </c>
      <c r="E176" s="14">
        <f t="shared" si="12"/>
        <v>180.86048364167465</v>
      </c>
      <c r="F176" s="14">
        <f t="shared" si="13"/>
        <v>179.97768346987803</v>
      </c>
    </row>
    <row r="177" spans="2:6" x14ac:dyDescent="0.35">
      <c r="B177">
        <v>92.75</v>
      </c>
      <c r="C177" s="14">
        <f t="shared" si="10"/>
        <v>2.7014747900954599</v>
      </c>
      <c r="D177" s="14">
        <f t="shared" si="11"/>
        <v>4.1895711660747486</v>
      </c>
      <c r="E177" s="14">
        <f t="shared" si="12"/>
        <v>180.85595587262517</v>
      </c>
      <c r="F177" s="14">
        <f t="shared" si="13"/>
        <v>179.97482600190247</v>
      </c>
    </row>
    <row r="178" spans="2:6" x14ac:dyDescent="0.35">
      <c r="B178">
        <v>93</v>
      </c>
      <c r="C178" s="14">
        <f t="shared" si="10"/>
        <v>2.699984775683598</v>
      </c>
      <c r="D178" s="14">
        <f t="shared" si="11"/>
        <v>4.1816669951044112</v>
      </c>
      <c r="E178" s="14">
        <f t="shared" si="12"/>
        <v>180.85134852515415</v>
      </c>
      <c r="F178" s="14">
        <f t="shared" si="13"/>
        <v>179.97188102054702</v>
      </c>
    </row>
    <row r="179" spans="2:6" x14ac:dyDescent="0.35">
      <c r="B179">
        <v>93.25</v>
      </c>
      <c r="C179" s="14">
        <f t="shared" si="10"/>
        <v>2.6984986892936345</v>
      </c>
      <c r="D179" s="14">
        <f t="shared" si="11"/>
        <v>4.1738002730979709</v>
      </c>
      <c r="E179" s="14">
        <f t="shared" si="12"/>
        <v>180.84666239754503</v>
      </c>
      <c r="F179" s="14">
        <f t="shared" si="13"/>
        <v>179.96884938297273</v>
      </c>
    </row>
    <row r="180" spans="2:6" x14ac:dyDescent="0.35">
      <c r="B180">
        <v>93.5</v>
      </c>
      <c r="C180" s="14">
        <f t="shared" si="10"/>
        <v>2.6970165095928058</v>
      </c>
      <c r="D180" s="14">
        <f t="shared" si="11"/>
        <v>4.1659707229288525</v>
      </c>
      <c r="E180" s="14">
        <f t="shared" si="12"/>
        <v>180.84189827905806</v>
      </c>
      <c r="F180" s="14">
        <f t="shared" si="13"/>
        <v>179.96573193672376</v>
      </c>
    </row>
    <row r="181" spans="2:6" x14ac:dyDescent="0.35">
      <c r="B181">
        <v>93.75</v>
      </c>
      <c r="C181" s="14">
        <f t="shared" si="10"/>
        <v>2.6955382154212493</v>
      </c>
      <c r="D181" s="14">
        <f t="shared" si="11"/>
        <v>4.1581780702577431</v>
      </c>
      <c r="E181" s="14">
        <f t="shared" si="12"/>
        <v>180.83705695005236</v>
      </c>
      <c r="F181" s="14">
        <f t="shared" si="13"/>
        <v>179.96252951985693</v>
      </c>
    </row>
    <row r="182" spans="2:6" x14ac:dyDescent="0.35">
      <c r="B182">
        <v>94</v>
      </c>
      <c r="C182" s="14">
        <f t="shared" si="10"/>
        <v>2.6940637857901435</v>
      </c>
      <c r="D182" s="14">
        <f t="shared" si="11"/>
        <v>4.1504220434971852</v>
      </c>
      <c r="E182" s="14">
        <f t="shared" si="12"/>
        <v>180.83213918210618</v>
      </c>
      <c r="F182" s="14">
        <f t="shared" si="13"/>
        <v>179.95924296106938</v>
      </c>
    </row>
    <row r="183" spans="2:6" x14ac:dyDescent="0.35">
      <c r="B183">
        <v>94.25</v>
      </c>
      <c r="C183" s="14">
        <f t="shared" si="10"/>
        <v>2.6925931998798704</v>
      </c>
      <c r="D183" s="14">
        <f t="shared" si="11"/>
        <v>4.1427023737767197</v>
      </c>
      <c r="E183" s="14">
        <f t="shared" si="12"/>
        <v>180.82714573813507</v>
      </c>
      <c r="F183" s="14">
        <f t="shared" si="13"/>
        <v>179.95587307982419</v>
      </c>
    </row>
    <row r="184" spans="2:6" x14ac:dyDescent="0.35">
      <c r="B184">
        <v>94.5</v>
      </c>
      <c r="C184" s="14">
        <f t="shared" si="10"/>
        <v>2.6911264370382093</v>
      </c>
      <c r="D184" s="14">
        <f t="shared" si="11"/>
        <v>4.135018794908591</v>
      </c>
      <c r="E184" s="14">
        <f t="shared" si="12"/>
        <v>180.8220773725082</v>
      </c>
      <c r="F184" s="14">
        <f t="shared" si="13"/>
        <v>179.95242068647386</v>
      </c>
    </row>
    <row r="185" spans="2:6" x14ac:dyDescent="0.35">
      <c r="B185">
        <v>94.75</v>
      </c>
      <c r="C185" s="14">
        <f t="shared" si="10"/>
        <v>2.6896634767785428</v>
      </c>
      <c r="D185" s="14">
        <f t="shared" si="11"/>
        <v>4.127371043353925</v>
      </c>
      <c r="E185" s="14">
        <f t="shared" si="12"/>
        <v>180.816934831163</v>
      </c>
      <c r="F185" s="14">
        <f t="shared" si="13"/>
        <v>179.94888658238187</v>
      </c>
    </row>
    <row r="186" spans="2:6" x14ac:dyDescent="0.35">
      <c r="B186">
        <v>95</v>
      </c>
      <c r="C186" s="14">
        <f t="shared" si="10"/>
        <v>2.6882042987781012</v>
      </c>
      <c r="D186" s="14">
        <f t="shared" si="11"/>
        <v>4.119758858189484</v>
      </c>
      <c r="E186" s="14">
        <f t="shared" si="12"/>
        <v>180.8117188517177</v>
      </c>
      <c r="F186" s="14">
        <f t="shared" si="13"/>
        <v>179.9452715600427</v>
      </c>
    </row>
    <row r="187" spans="2:6" x14ac:dyDescent="0.35">
      <c r="B187">
        <v>95.25</v>
      </c>
      <c r="C187" s="14">
        <f t="shared" si="10"/>
        <v>2.686748882876218</v>
      </c>
      <c r="D187" s="14">
        <f t="shared" si="11"/>
        <v>4.1121819810748468</v>
      </c>
      <c r="E187" s="14">
        <f t="shared" si="12"/>
        <v>180.80643016358241</v>
      </c>
      <c r="F187" s="14">
        <f t="shared" si="13"/>
        <v>179.94157640319921</v>
      </c>
    </row>
    <row r="188" spans="2:6" x14ac:dyDescent="0.35">
      <c r="B188">
        <v>95.5</v>
      </c>
      <c r="C188" s="14">
        <f t="shared" si="10"/>
        <v>2.6852972090726173</v>
      </c>
      <c r="D188" s="14">
        <f t="shared" si="11"/>
        <v>4.1046401562201886</v>
      </c>
      <c r="E188" s="14">
        <f t="shared" si="12"/>
        <v>180.80106948806815</v>
      </c>
      <c r="F188" s="14">
        <f t="shared" si="13"/>
        <v>179.93780188695899</v>
      </c>
    </row>
    <row r="189" spans="2:6" x14ac:dyDescent="0.35">
      <c r="B189">
        <v>95.75</v>
      </c>
      <c r="C189" s="14">
        <f t="shared" si="10"/>
        <v>2.6838492575257122</v>
      </c>
      <c r="D189" s="14">
        <f t="shared" si="11"/>
        <v>4.0971331303544201</v>
      </c>
      <c r="E189" s="14">
        <f t="shared" si="12"/>
        <v>180.7956375384945</v>
      </c>
      <c r="F189" s="14">
        <f t="shared" si="13"/>
        <v>179.93394877790826</v>
      </c>
    </row>
    <row r="190" spans="2:6" x14ac:dyDescent="0.35">
      <c r="B190">
        <v>96</v>
      </c>
      <c r="C190" s="14">
        <f t="shared" si="10"/>
        <v>2.6824050085509428</v>
      </c>
      <c r="D190" s="14">
        <f t="shared" si="11"/>
        <v>4.0896606526939241</v>
      </c>
      <c r="E190" s="14">
        <f t="shared" si="12"/>
        <v>180.79013502029531</v>
      </c>
      <c r="F190" s="14">
        <f t="shared" si="13"/>
        <v>179.93001783422443</v>
      </c>
    </row>
    <row r="191" spans="2:6" x14ac:dyDescent="0.35">
      <c r="B191">
        <v>96.25</v>
      </c>
      <c r="C191" s="14">
        <f t="shared" si="10"/>
        <v>2.6809644426191208</v>
      </c>
      <c r="D191" s="14">
        <f t="shared" si="11"/>
        <v>4.0822224749117133</v>
      </c>
      <c r="E191" s="14">
        <f t="shared" si="12"/>
        <v>180.78456263112287</v>
      </c>
      <c r="F191" s="14">
        <f t="shared" si="13"/>
        <v>179.92600980578672</v>
      </c>
    </row>
    <row r="192" spans="2:6" x14ac:dyDescent="0.35">
      <c r="B192">
        <v>96.5</v>
      </c>
      <c r="C192" s="14">
        <f t="shared" si="10"/>
        <v>2.6795275403547985</v>
      </c>
      <c r="D192" s="14">
        <f t="shared" si="11"/>
        <v>4.0748183511069742</v>
      </c>
      <c r="E192" s="14">
        <f t="shared" si="12"/>
        <v>180.77892106095021</v>
      </c>
      <c r="F192" s="14">
        <f t="shared" si="13"/>
        <v>179.92192543428484</v>
      </c>
    </row>
    <row r="193" spans="2:6" x14ac:dyDescent="0.35">
      <c r="B193">
        <v>96.75</v>
      </c>
      <c r="C193" s="14">
        <f t="shared" si="10"/>
        <v>2.6780942825346705</v>
      </c>
      <c r="D193" s="14">
        <f t="shared" si="11"/>
        <v>4.067448037775244</v>
      </c>
      <c r="E193" s="14">
        <f t="shared" si="12"/>
        <v>180.77321099217249</v>
      </c>
      <c r="F193" s="14">
        <f t="shared" si="13"/>
        <v>179.91776545332655</v>
      </c>
    </row>
    <row r="194" spans="2:6" x14ac:dyDescent="0.35">
      <c r="B194">
        <v>97</v>
      </c>
      <c r="C194" s="14">
        <f t="shared" si="10"/>
        <v>2.676664650085979</v>
      </c>
      <c r="D194" s="14">
        <f t="shared" si="11"/>
        <v>4.0601112937788439</v>
      </c>
      <c r="E194" s="14">
        <f t="shared" si="12"/>
        <v>180.7674330997059</v>
      </c>
      <c r="F194" s="14">
        <f t="shared" si="13"/>
        <v>179.91353058854295</v>
      </c>
    </row>
    <row r="195" spans="2:6" x14ac:dyDescent="0.35">
      <c r="B195">
        <v>97.25</v>
      </c>
      <c r="C195" s="14">
        <f t="shared" si="10"/>
        <v>2.6752386240849537</v>
      </c>
      <c r="D195" s="14">
        <f t="shared" si="11"/>
        <v>4.0528078803178742</v>
      </c>
      <c r="E195" s="14">
        <f t="shared" si="12"/>
        <v>180.76158805108577</v>
      </c>
      <c r="F195" s="14">
        <f t="shared" si="13"/>
        <v>179.90922155769255</v>
      </c>
    </row>
    <row r="196" spans="2:6" x14ac:dyDescent="0.35">
      <c r="B196">
        <v>97.5</v>
      </c>
      <c r="C196" s="14">
        <f t="shared" si="10"/>
        <v>2.6738161857552636</v>
      </c>
      <c r="D196" s="14">
        <f t="shared" si="11"/>
        <v>4.0455375609015736</v>
      </c>
      <c r="E196" s="14">
        <f t="shared" si="12"/>
        <v>180.75567650656291</v>
      </c>
      <c r="F196" s="14">
        <f t="shared" si="13"/>
        <v>179.90483907076373</v>
      </c>
    </row>
    <row r="197" spans="2:6" x14ac:dyDescent="0.35">
      <c r="B197">
        <v>97.75</v>
      </c>
      <c r="C197" s="14">
        <f t="shared" si="10"/>
        <v>2.6723973164664927</v>
      </c>
      <c r="D197" s="14">
        <f t="shared" si="11"/>
        <v>4.0383001013201554</v>
      </c>
      <c r="E197" s="14">
        <f t="shared" si="12"/>
        <v>180.74969911919811</v>
      </c>
      <c r="F197" s="14">
        <f t="shared" si="13"/>
        <v>179.90038383007521</v>
      </c>
    </row>
    <row r="198" spans="2:6" x14ac:dyDescent="0.35">
      <c r="B198">
        <v>98</v>
      </c>
      <c r="C198" s="14">
        <f t="shared" si="10"/>
        <v>2.6709819977326354</v>
      </c>
      <c r="D198" s="14">
        <f t="shared" si="11"/>
        <v>4.0310952696169933</v>
      </c>
      <c r="E198" s="14">
        <f t="shared" si="12"/>
        <v>180.7436565349561</v>
      </c>
      <c r="F198" s="14">
        <f t="shared" si="13"/>
        <v>179.8958565303756</v>
      </c>
    </row>
    <row r="199" spans="2:6" x14ac:dyDescent="0.35">
      <c r="B199">
        <v>98.25</v>
      </c>
      <c r="C199" s="14">
        <f t="shared" si="10"/>
        <v>2.6695702112106097</v>
      </c>
      <c r="D199" s="14">
        <f t="shared" si="11"/>
        <v>4.0239228360612911</v>
      </c>
      <c r="E199" s="14">
        <f t="shared" si="12"/>
        <v>180.73754939279695</v>
      </c>
      <c r="F199" s="14">
        <f t="shared" si="13"/>
        <v>179.8912578589408</v>
      </c>
    </row>
    <row r="200" spans="2:6" x14ac:dyDescent="0.35">
      <c r="B200">
        <v>98.5</v>
      </c>
      <c r="C200" s="14">
        <f t="shared" si="10"/>
        <v>2.6681619386987863</v>
      </c>
      <c r="D200" s="14">
        <f t="shared" si="11"/>
        <v>4.0167825731210653</v>
      </c>
      <c r="E200" s="14">
        <f t="shared" si="12"/>
        <v>180.73137832476698</v>
      </c>
      <c r="F200" s="14">
        <f t="shared" si="13"/>
        <v>179.88658849567059</v>
      </c>
    </row>
    <row r="201" spans="2:6" x14ac:dyDescent="0.35">
      <c r="B201">
        <v>98.75</v>
      </c>
      <c r="C201" s="14">
        <f t="shared" si="10"/>
        <v>2.666757162135549</v>
      </c>
      <c r="D201" s="14">
        <f t="shared" si="11"/>
        <v>4.0096742554366269</v>
      </c>
      <c r="E201" s="14">
        <f t="shared" si="12"/>
        <v>180.72514395608781</v>
      </c>
      <c r="F201" s="14">
        <f t="shared" si="13"/>
        <v>179.88184911318311</v>
      </c>
    </row>
    <row r="202" spans="2:6" x14ac:dyDescent="0.35">
      <c r="B202">
        <v>99</v>
      </c>
      <c r="C202" s="14">
        <f t="shared" si="10"/>
        <v>2.6653558635978531</v>
      </c>
      <c r="D202" s="14">
        <f t="shared" si="11"/>
        <v>4.0025976597943469</v>
      </c>
      <c r="E202" s="14">
        <f t="shared" si="12"/>
        <v>180.71884690524416</v>
      </c>
      <c r="F202" s="14">
        <f t="shared" si="13"/>
        <v>179.87704037690827</v>
      </c>
    </row>
    <row r="203" spans="2:6" x14ac:dyDescent="0.35">
      <c r="B203">
        <v>99.25</v>
      </c>
      <c r="C203" s="14">
        <f t="shared" si="10"/>
        <v>2.6639580252998245</v>
      </c>
      <c r="D203" s="14">
        <f t="shared" si="11"/>
        <v>3.9955525651008883</v>
      </c>
      <c r="E203" s="14">
        <f t="shared" si="12"/>
        <v>180.71248778407059</v>
      </c>
      <c r="F203" s="14">
        <f t="shared" si="13"/>
        <v>179.87216294517984</v>
      </c>
    </row>
    <row r="204" spans="2:6" x14ac:dyDescent="0.35">
      <c r="B204">
        <v>99.5</v>
      </c>
      <c r="C204" s="14">
        <f t="shared" si="10"/>
        <v>2.6625636295913577</v>
      </c>
      <c r="D204" s="14">
        <f t="shared" si="11"/>
        <v>3.9885387523577389</v>
      </c>
      <c r="E204" s="14">
        <f t="shared" si="12"/>
        <v>180.70606719783612</v>
      </c>
      <c r="F204" s="14">
        <f t="shared" si="13"/>
        <v>179.86721746932557</v>
      </c>
    </row>
    <row r="205" spans="2:6" x14ac:dyDescent="0.35">
      <c r="B205">
        <v>99.75</v>
      </c>
      <c r="C205" s="14">
        <f t="shared" si="10"/>
        <v>2.6611726589567435</v>
      </c>
      <c r="D205" s="14">
        <f t="shared" si="11"/>
        <v>3.9815560046361749</v>
      </c>
      <c r="E205" s="14">
        <f t="shared" si="12"/>
        <v>180.69958574532885</v>
      </c>
      <c r="F205" s="14">
        <f t="shared" si="13"/>
        <v>179.8622045937569</v>
      </c>
    </row>
    <row r="206" spans="2:6" x14ac:dyDescent="0.35">
      <c r="B206">
        <v>100</v>
      </c>
      <c r="C206" s="14">
        <f t="shared" si="10"/>
        <v>2.6597850960133114</v>
      </c>
      <c r="D206" s="14">
        <f t="shared" si="11"/>
        <v>3.9746041070525626</v>
      </c>
      <c r="E206" s="14">
        <f t="shared" si="12"/>
        <v>180.69304401893805</v>
      </c>
      <c r="F206" s="14">
        <f t="shared" si="13"/>
        <v>179.85712495605642</v>
      </c>
    </row>
    <row r="207" spans="2:6" x14ac:dyDescent="0.35">
      <c r="B207">
        <v>100.25</v>
      </c>
      <c r="C207" s="14">
        <f t="shared" si="10"/>
        <v>2.6584009235100812</v>
      </c>
      <c r="D207" s="14">
        <f t="shared" si="11"/>
        <v>3.9676828467439753</v>
      </c>
      <c r="E207" s="14">
        <f t="shared" si="12"/>
        <v>180.68644260473582</v>
      </c>
      <c r="F207" s="14">
        <f t="shared" si="13"/>
        <v>179.85197918706442</v>
      </c>
    </row>
    <row r="208" spans="2:6" x14ac:dyDescent="0.35">
      <c r="B208">
        <v>100.5</v>
      </c>
      <c r="C208" s="14">
        <f t="shared" si="10"/>
        <v>2.6570201243264466</v>
      </c>
      <c r="D208" s="14">
        <f t="shared" si="11"/>
        <v>3.9607920128442569</v>
      </c>
      <c r="E208" s="14">
        <f t="shared" si="12"/>
        <v>180.67978208255721</v>
      </c>
      <c r="F208" s="14">
        <f t="shared" si="13"/>
        <v>179.84676791096439</v>
      </c>
    </row>
    <row r="209" spans="2:6" x14ac:dyDescent="0.35">
      <c r="B209">
        <v>100.75</v>
      </c>
      <c r="C209" s="14">
        <f t="shared" si="10"/>
        <v>2.6556426814708627</v>
      </c>
      <c r="D209" s="14">
        <f t="shared" si="11"/>
        <v>3.9539313964603156</v>
      </c>
      <c r="E209" s="14">
        <f t="shared" si="12"/>
        <v>180.67306302607915</v>
      </c>
      <c r="F209" s="14">
        <f t="shared" si="13"/>
        <v>179.84149174536651</v>
      </c>
    </row>
    <row r="210" spans="2:6" x14ac:dyDescent="0.35">
      <c r="B210">
        <v>101</v>
      </c>
      <c r="C210" s="14">
        <f t="shared" si="10"/>
        <v>2.6542685780795501</v>
      </c>
      <c r="D210" s="14">
        <f t="shared" si="11"/>
        <v>3.9471007906488254</v>
      </c>
      <c r="E210" s="14">
        <f t="shared" si="12"/>
        <v>180.66628600289837</v>
      </c>
      <c r="F210" s="14">
        <f t="shared" si="13"/>
        <v>179.83615130139088</v>
      </c>
    </row>
    <row r="211" spans="2:6" x14ac:dyDescent="0.35">
      <c r="B211">
        <v>101.25</v>
      </c>
      <c r="C211" s="14">
        <f t="shared" si="10"/>
        <v>2.6528977974152292</v>
      </c>
      <c r="D211" s="14">
        <f t="shared" si="11"/>
        <v>3.94029999039329</v>
      </c>
      <c r="E211" s="14">
        <f t="shared" si="12"/>
        <v>180.659451574608</v>
      </c>
      <c r="F211" s="14">
        <f t="shared" si="13"/>
        <v>179.83074718374866</v>
      </c>
    </row>
    <row r="212" spans="2:6" x14ac:dyDescent="0.35">
      <c r="B212">
        <v>101.5</v>
      </c>
      <c r="C212" s="14">
        <f t="shared" si="10"/>
        <v>2.6515303228658484</v>
      </c>
      <c r="D212" s="14">
        <f t="shared" si="11"/>
        <v>3.9335287925813098</v>
      </c>
      <c r="E212" s="14">
        <f t="shared" si="12"/>
        <v>180.65256029687299</v>
      </c>
      <c r="F212" s="14">
        <f t="shared" si="13"/>
        <v>179.82527999082234</v>
      </c>
    </row>
    <row r="213" spans="2:6" x14ac:dyDescent="0.35">
      <c r="B213">
        <v>101.75</v>
      </c>
      <c r="C213" s="14">
        <f t="shared" si="10"/>
        <v>2.6501661379433501</v>
      </c>
      <c r="D213" s="14">
        <f t="shared" si="11"/>
        <v>3.9267869959823205</v>
      </c>
      <c r="E213" s="14">
        <f t="shared" si="12"/>
        <v>180.64561271950464</v>
      </c>
      <c r="F213" s="14">
        <f t="shared" si="13"/>
        <v>179.81975031474516</v>
      </c>
    </row>
    <row r="214" spans="2:6" x14ac:dyDescent="0.35">
      <c r="B214">
        <v>102</v>
      </c>
      <c r="C214" s="14">
        <f t="shared" si="10"/>
        <v>2.6488052262824318</v>
      </c>
      <c r="D214" s="14">
        <f t="shared" si="11"/>
        <v>3.9200744012255155</v>
      </c>
      <c r="E214" s="14">
        <f t="shared" si="12"/>
        <v>180.63860938653386</v>
      </c>
      <c r="F214" s="14">
        <f t="shared" si="13"/>
        <v>179.81415874147859</v>
      </c>
    </row>
    <row r="215" spans="2:6" x14ac:dyDescent="0.35">
      <c r="B215">
        <v>102.25</v>
      </c>
      <c r="C215" s="14">
        <f t="shared" si="10"/>
        <v>2.6474475716393426</v>
      </c>
      <c r="D215" s="14">
        <f t="shared" si="11"/>
        <v>3.9133908107782105</v>
      </c>
      <c r="E215" s="14">
        <f t="shared" si="12"/>
        <v>180.63155083628334</v>
      </c>
      <c r="F215" s="14">
        <f t="shared" si="13"/>
        <v>179.8085058508895</v>
      </c>
    </row>
    <row r="216" spans="2:6" x14ac:dyDescent="0.35">
      <c r="B216">
        <v>102.5</v>
      </c>
      <c r="C216" s="14">
        <f t="shared" si="10"/>
        <v>2.646093157890677</v>
      </c>
      <c r="D216" s="14">
        <f t="shared" si="11"/>
        <v>3.9067360289243691</v>
      </c>
      <c r="E216" s="14">
        <f t="shared" si="12"/>
        <v>180.6244376014387</v>
      </c>
      <c r="F216" s="14">
        <f t="shared" si="13"/>
        <v>179.80279221682551</v>
      </c>
    </row>
    <row r="217" spans="2:6" x14ac:dyDescent="0.35">
      <c r="B217">
        <v>102.75</v>
      </c>
      <c r="C217" s="14">
        <f t="shared" si="10"/>
        <v>2.6447419690321921</v>
      </c>
      <c r="D217" s="14">
        <f t="shared" si="11"/>
        <v>3.9001098617435632</v>
      </c>
      <c r="E217" s="14">
        <f t="shared" si="12"/>
        <v>180.61727020911877</v>
      </c>
      <c r="F217" s="14">
        <f t="shared" si="13"/>
        <v>179.79701840718982</v>
      </c>
    </row>
    <row r="218" spans="2:6" x14ac:dyDescent="0.35">
      <c r="B218">
        <v>103</v>
      </c>
      <c r="C218" s="14">
        <f t="shared" si="10"/>
        <v>2.6433939891776403</v>
      </c>
      <c r="D218" s="14">
        <f t="shared" si="11"/>
        <v>3.893512117090129</v>
      </c>
      <c r="E218" s="14">
        <f t="shared" si="12"/>
        <v>180.61004918094437</v>
      </c>
      <c r="F218" s="14">
        <f t="shared" si="13"/>
        <v>179.79118498401434</v>
      </c>
    </row>
    <row r="219" spans="2:6" x14ac:dyDescent="0.35">
      <c r="B219">
        <v>103.25</v>
      </c>
      <c r="C219" s="14">
        <f t="shared" si="10"/>
        <v>2.6420492025576121</v>
      </c>
      <c r="D219" s="14">
        <f t="shared" si="11"/>
        <v>3.8869426045726843</v>
      </c>
      <c r="E219" s="14">
        <f t="shared" si="12"/>
        <v>180.60277503310672</v>
      </c>
      <c r="F219" s="14">
        <f t="shared" si="13"/>
        <v>179.78529250353259</v>
      </c>
    </row>
    <row r="220" spans="2:6" x14ac:dyDescent="0.35">
      <c r="B220">
        <v>103.5</v>
      </c>
      <c r="C220" s="14">
        <f t="shared" si="10"/>
        <v>2.6407075935183957</v>
      </c>
      <c r="D220" s="14">
        <f t="shared" si="11"/>
        <v>3.8804011355338823</v>
      </c>
      <c r="E220" s="14">
        <f t="shared" si="12"/>
        <v>180.5954482764343</v>
      </c>
      <c r="F220" s="14">
        <f t="shared" si="13"/>
        <v>179.77934151625038</v>
      </c>
    </row>
    <row r="221" spans="2:6" x14ac:dyDescent="0.35">
      <c r="B221">
        <v>103.75</v>
      </c>
      <c r="C221" s="14">
        <f t="shared" si="10"/>
        <v>2.6393691465208473</v>
      </c>
      <c r="D221" s="14">
        <f t="shared" si="11"/>
        <v>3.873887523030473</v>
      </c>
      <c r="E221" s="14">
        <f t="shared" si="12"/>
        <v>180.58806941645906</v>
      </c>
      <c r="F221" s="14">
        <f t="shared" si="13"/>
        <v>179.77333256701672</v>
      </c>
    </row>
    <row r="222" spans="2:6" x14ac:dyDescent="0.35">
      <c r="B222">
        <v>104</v>
      </c>
      <c r="C222" s="14">
        <f t="shared" si="10"/>
        <v>2.6380338461392823</v>
      </c>
      <c r="D222" s="14">
        <f t="shared" si="11"/>
        <v>3.8674015818136436</v>
      </c>
      <c r="E222" s="14">
        <f t="shared" si="12"/>
        <v>180.58063895348153</v>
      </c>
      <c r="F222" s="14">
        <f t="shared" si="13"/>
        <v>179.76726619509273</v>
      </c>
    </row>
    <row r="223" spans="2:6" x14ac:dyDescent="0.35">
      <c r="B223">
        <v>104.25</v>
      </c>
      <c r="C223" s="14">
        <f t="shared" si="10"/>
        <v>2.6367016770603708</v>
      </c>
      <c r="D223" s="14">
        <f t="shared" si="11"/>
        <v>3.8609431283096054</v>
      </c>
      <c r="E223" s="14">
        <f t="shared" si="12"/>
        <v>180.57315738263512</v>
      </c>
      <c r="F223" s="14">
        <f t="shared" si="13"/>
        <v>179.76114293422023</v>
      </c>
    </row>
    <row r="224" spans="2:6" x14ac:dyDescent="0.35">
      <c r="B224">
        <v>104.5</v>
      </c>
      <c r="C224" s="14">
        <f t="shared" si="10"/>
        <v>2.6353726240820503</v>
      </c>
      <c r="D224" s="14">
        <f t="shared" si="11"/>
        <v>3.8545119806004804</v>
      </c>
      <c r="E224" s="14">
        <f t="shared" si="12"/>
        <v>180.56562519394939</v>
      </c>
      <c r="F224" s="14">
        <f t="shared" si="13"/>
        <v>179.75496331268872</v>
      </c>
    </row>
    <row r="225" spans="2:6" x14ac:dyDescent="0.35">
      <c r="B225">
        <v>104.75</v>
      </c>
      <c r="C225" s="14">
        <f t="shared" si="10"/>
        <v>2.6340466721124574</v>
      </c>
      <c r="D225" s="14">
        <f t="shared" si="11"/>
        <v>3.8481079584054365</v>
      </c>
      <c r="E225" s="14">
        <f t="shared" si="12"/>
        <v>180.55804287241219</v>
      </c>
      <c r="F225" s="14">
        <f t="shared" si="13"/>
        <v>179.74872785340187</v>
      </c>
    </row>
    <row r="226" spans="2:6" x14ac:dyDescent="0.35">
      <c r="B226">
        <v>105</v>
      </c>
      <c r="C226" s="14">
        <f t="shared" si="10"/>
        <v>2.6327238061688591</v>
      </c>
      <c r="D226" s="14">
        <f t="shared" si="11"/>
        <v>3.8417308830620751</v>
      </c>
      <c r="E226" s="14">
        <f t="shared" si="12"/>
        <v>180.55041089803149</v>
      </c>
      <c r="F226" s="14">
        <f t="shared" si="13"/>
        <v>179.74243707394308</v>
      </c>
    </row>
    <row r="352" spans="3:6" x14ac:dyDescent="0.35">
      <c r="C352" s="14"/>
      <c r="D352" s="14"/>
      <c r="E352" s="14"/>
      <c r="F352" s="14"/>
    </row>
  </sheetData>
  <mergeCells count="10">
    <mergeCell ref="D12:E12"/>
    <mergeCell ref="Q17:Z19"/>
    <mergeCell ref="B2:H2"/>
    <mergeCell ref="J2:M2"/>
    <mergeCell ref="J3:P11"/>
    <mergeCell ref="B4:H5"/>
    <mergeCell ref="B7:F7"/>
    <mergeCell ref="B8:F8"/>
    <mergeCell ref="D10:E10"/>
    <mergeCell ref="D11:E11"/>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E352"/>
  <sheetViews>
    <sheetView topLeftCell="A8" zoomScale="80" zoomScaleNormal="80" workbookViewId="0">
      <selection activeCell="E38" sqref="E38"/>
    </sheetView>
  </sheetViews>
  <sheetFormatPr defaultRowHeight="14.5" x14ac:dyDescent="0.35"/>
  <cols>
    <col min="1" max="1" width="2.1796875" customWidth="1"/>
    <col min="2" max="5" width="13.81640625" customWidth="1"/>
    <col min="6" max="6" width="11.1796875" customWidth="1"/>
    <col min="7" max="7" width="12.1796875" customWidth="1"/>
    <col min="8" max="8" width="10.1796875" customWidth="1"/>
    <col min="9" max="10" width="13.81640625" customWidth="1"/>
    <col min="11" max="11" width="16.54296875" customWidth="1"/>
    <col min="12" max="12" width="5.453125" customWidth="1"/>
    <col min="13" max="15" width="15.453125" customWidth="1"/>
    <col min="16" max="16" width="7.7265625" customWidth="1"/>
    <col min="17" max="17" width="25.7265625" customWidth="1"/>
    <col min="18" max="18" width="16.453125" customWidth="1"/>
    <col min="19" max="19" width="10.453125" customWidth="1"/>
    <col min="20" max="20" width="10.26953125" customWidth="1"/>
    <col min="21" max="21" width="13.81640625" customWidth="1"/>
    <col min="22" max="22" width="5.81640625" customWidth="1"/>
    <col min="27" max="27" width="3.54296875" customWidth="1"/>
    <col min="28" max="28" width="9.1796875" customWidth="1"/>
    <col min="29" max="29" width="3.54296875" customWidth="1"/>
  </cols>
  <sheetData>
    <row r="1" spans="2:31" ht="11.25" customHeight="1" x14ac:dyDescent="0.35"/>
    <row r="2" spans="2:31" ht="34.5" customHeight="1" thickBot="1" x14ac:dyDescent="0.4">
      <c r="B2" s="159" t="s">
        <v>0</v>
      </c>
      <c r="C2" s="159"/>
      <c r="D2" s="159"/>
      <c r="E2" s="159"/>
      <c r="F2" s="159"/>
      <c r="G2" s="159"/>
      <c r="H2" s="159"/>
      <c r="I2" s="4"/>
      <c r="J2" s="160" t="s">
        <v>3</v>
      </c>
      <c r="K2" s="160"/>
      <c r="L2" s="160"/>
      <c r="M2" s="160"/>
    </row>
    <row r="3" spans="2:31" ht="15" customHeight="1" thickBot="1" x14ac:dyDescent="0.4">
      <c r="B3" s="4"/>
      <c r="C3" s="3"/>
      <c r="D3" s="3"/>
      <c r="E3" s="3"/>
      <c r="F3" s="3"/>
      <c r="G3" s="3"/>
      <c r="H3" s="3"/>
      <c r="I3" s="4"/>
      <c r="J3" s="161"/>
      <c r="K3" s="162"/>
      <c r="L3" s="162"/>
      <c r="M3" s="162"/>
      <c r="N3" s="162"/>
      <c r="O3" s="162"/>
      <c r="P3" s="163"/>
      <c r="Q3" s="4"/>
      <c r="R3" s="4"/>
      <c r="S3" s="4"/>
    </row>
    <row r="4" spans="2:31" ht="40.5" customHeight="1" x14ac:dyDescent="0.35">
      <c r="B4" s="170" t="s">
        <v>150</v>
      </c>
      <c r="C4" s="171"/>
      <c r="D4" s="171"/>
      <c r="E4" s="171"/>
      <c r="F4" s="171"/>
      <c r="G4" s="171"/>
      <c r="H4" s="172"/>
      <c r="J4" s="164"/>
      <c r="K4" s="165"/>
      <c r="L4" s="165"/>
      <c r="M4" s="165"/>
      <c r="N4" s="165"/>
      <c r="O4" s="165"/>
      <c r="P4" s="166"/>
      <c r="Q4" s="6"/>
      <c r="R4" s="6"/>
      <c r="S4" s="6"/>
      <c r="T4" s="6"/>
      <c r="U4" s="6"/>
    </row>
    <row r="5" spans="2:31" ht="40.5" customHeight="1" thickBot="1" x14ac:dyDescent="0.4">
      <c r="B5" s="173"/>
      <c r="C5" s="174"/>
      <c r="D5" s="174"/>
      <c r="E5" s="174"/>
      <c r="F5" s="174"/>
      <c r="G5" s="174"/>
      <c r="H5" s="175"/>
      <c r="J5" s="164"/>
      <c r="K5" s="165"/>
      <c r="L5" s="165"/>
      <c r="M5" s="165"/>
      <c r="N5" s="165"/>
      <c r="O5" s="165"/>
      <c r="P5" s="166"/>
      <c r="Q5" s="6"/>
      <c r="R5" s="6"/>
      <c r="S5" s="6"/>
      <c r="T5" s="6"/>
      <c r="U5" s="6"/>
    </row>
    <row r="6" spans="2:31" x14ac:dyDescent="0.35">
      <c r="J6" s="164"/>
      <c r="K6" s="165"/>
      <c r="L6" s="165"/>
      <c r="M6" s="165"/>
      <c r="N6" s="165"/>
      <c r="O6" s="165"/>
      <c r="P6" s="166"/>
      <c r="Q6" s="6"/>
      <c r="R6" s="6"/>
      <c r="S6" s="6"/>
      <c r="T6" s="6"/>
      <c r="U6" s="6"/>
    </row>
    <row r="7" spans="2:31" x14ac:dyDescent="0.35">
      <c r="B7" s="176" t="s">
        <v>1</v>
      </c>
      <c r="C7" s="176"/>
      <c r="D7" s="176"/>
      <c r="E7" s="176"/>
      <c r="F7" s="176"/>
      <c r="G7" s="1"/>
      <c r="H7" s="1"/>
      <c r="J7" s="164"/>
      <c r="K7" s="165"/>
      <c r="L7" s="165"/>
      <c r="M7" s="165"/>
      <c r="N7" s="165"/>
      <c r="O7" s="165"/>
      <c r="P7" s="166"/>
      <c r="Q7" s="6"/>
      <c r="R7" s="6"/>
      <c r="S7" s="6"/>
      <c r="T7" s="6"/>
      <c r="U7" s="6"/>
    </row>
    <row r="8" spans="2:31" x14ac:dyDescent="0.35">
      <c r="B8" s="176" t="s">
        <v>2</v>
      </c>
      <c r="C8" s="176"/>
      <c r="D8" s="176"/>
      <c r="E8" s="176"/>
      <c r="F8" s="176"/>
      <c r="G8" s="1"/>
      <c r="H8" s="1"/>
      <c r="J8" s="164"/>
      <c r="K8" s="165"/>
      <c r="L8" s="165"/>
      <c r="M8" s="165"/>
      <c r="N8" s="165"/>
      <c r="O8" s="165"/>
      <c r="P8" s="166"/>
      <c r="Q8" s="6"/>
      <c r="R8" s="6"/>
      <c r="S8" s="6"/>
      <c r="T8" s="6"/>
      <c r="U8" s="6"/>
    </row>
    <row r="9" spans="2:31" ht="15" customHeight="1" x14ac:dyDescent="0.35">
      <c r="B9" s="5" t="s">
        <v>60</v>
      </c>
      <c r="J9" s="164"/>
      <c r="K9" s="165"/>
      <c r="L9" s="165"/>
      <c r="M9" s="165"/>
      <c r="N9" s="165"/>
      <c r="O9" s="165"/>
      <c r="P9" s="166"/>
      <c r="Q9" s="6"/>
      <c r="R9" s="6"/>
      <c r="S9" s="6"/>
      <c r="T9" s="6"/>
      <c r="U9" s="6"/>
    </row>
    <row r="10" spans="2:31" ht="15" customHeight="1" x14ac:dyDescent="0.35">
      <c r="C10" s="46"/>
      <c r="D10" s="177" t="s">
        <v>152</v>
      </c>
      <c r="E10" s="178"/>
      <c r="F10" s="21"/>
      <c r="G10" s="21"/>
      <c r="H10" s="21"/>
      <c r="J10" s="164"/>
      <c r="K10" s="165"/>
      <c r="L10" s="165"/>
      <c r="M10" s="165"/>
      <c r="N10" s="165"/>
      <c r="O10" s="165"/>
      <c r="P10" s="166"/>
      <c r="Q10" s="6"/>
      <c r="R10" s="6"/>
      <c r="S10" s="6"/>
      <c r="T10" s="6"/>
      <c r="U10" s="6"/>
    </row>
    <row r="11" spans="2:31" ht="15" customHeight="1" thickBot="1" x14ac:dyDescent="0.4">
      <c r="C11" s="48"/>
      <c r="D11" s="179" t="s">
        <v>153</v>
      </c>
      <c r="E11" s="180"/>
      <c r="F11" s="22"/>
      <c r="G11" s="22"/>
      <c r="H11" s="22"/>
      <c r="J11" s="167"/>
      <c r="K11" s="168"/>
      <c r="L11" s="168"/>
      <c r="M11" s="168"/>
      <c r="N11" s="168"/>
      <c r="O11" s="168"/>
      <c r="P11" s="169"/>
      <c r="Q11" s="6"/>
      <c r="R11" s="6"/>
      <c r="S11" s="6"/>
      <c r="T11" s="6"/>
      <c r="U11" s="6"/>
    </row>
    <row r="12" spans="2:31" x14ac:dyDescent="0.35">
      <c r="C12" s="61"/>
      <c r="D12" s="149" t="s">
        <v>158</v>
      </c>
      <c r="E12" s="149"/>
      <c r="J12" s="6"/>
      <c r="K12" s="6"/>
      <c r="L12" s="6"/>
      <c r="M12" s="6"/>
      <c r="N12" s="6"/>
      <c r="O12" s="6"/>
      <c r="P12" s="6"/>
      <c r="Q12" s="6"/>
      <c r="R12" s="6"/>
      <c r="S12" s="6"/>
      <c r="T12" s="6"/>
      <c r="U12" s="6"/>
      <c r="AB12" s="4"/>
      <c r="AC12" s="4"/>
      <c r="AD12" s="4"/>
      <c r="AE12" s="4"/>
    </row>
    <row r="13" spans="2:31" x14ac:dyDescent="0.35">
      <c r="J13" s="6"/>
      <c r="K13" s="6"/>
      <c r="L13" s="6"/>
      <c r="M13" s="6"/>
      <c r="N13" s="6"/>
      <c r="O13" s="6"/>
      <c r="P13" s="6"/>
      <c r="Q13" s="6"/>
      <c r="R13" s="6"/>
      <c r="S13" s="6"/>
      <c r="T13" s="6"/>
      <c r="U13" s="6"/>
      <c r="AB13" s="4"/>
      <c r="AC13" s="4"/>
      <c r="AD13" s="4"/>
      <c r="AE13" s="4"/>
    </row>
    <row r="14" spans="2:31" x14ac:dyDescent="0.35">
      <c r="B14" s="5" t="s">
        <v>65</v>
      </c>
      <c r="M14" s="5" t="s">
        <v>109</v>
      </c>
      <c r="AB14" s="4"/>
      <c r="AC14" s="4"/>
      <c r="AD14" s="4"/>
      <c r="AE14" s="4"/>
    </row>
    <row r="15" spans="2:31" ht="15" thickBot="1" x14ac:dyDescent="0.4">
      <c r="AB15" s="4"/>
      <c r="AC15" s="4"/>
      <c r="AD15" s="4"/>
      <c r="AE15" s="4"/>
    </row>
    <row r="16" spans="2:31" ht="18" customHeight="1" x14ac:dyDescent="0.35">
      <c r="B16" s="36"/>
      <c r="C16" s="23"/>
      <c r="D16" s="23"/>
      <c r="E16" s="23"/>
      <c r="F16" s="23"/>
      <c r="G16" s="23"/>
      <c r="H16" s="23"/>
      <c r="I16" s="23"/>
      <c r="J16" s="23"/>
      <c r="K16" s="24"/>
      <c r="M16" s="36"/>
      <c r="N16" s="23"/>
      <c r="O16" s="23"/>
      <c r="P16" s="23"/>
      <c r="Q16" s="23"/>
      <c r="R16" s="23"/>
      <c r="S16" s="23"/>
      <c r="T16" s="23"/>
      <c r="U16" s="23"/>
      <c r="V16" s="23"/>
      <c r="W16" s="23"/>
      <c r="X16" s="23"/>
      <c r="Y16" s="23"/>
      <c r="Z16" s="23"/>
      <c r="AA16" s="24"/>
      <c r="AB16" s="4"/>
      <c r="AC16" s="4"/>
      <c r="AD16" s="4"/>
      <c r="AE16" s="4"/>
    </row>
    <row r="17" spans="2:31" ht="19.5" customHeight="1" x14ac:dyDescent="0.35">
      <c r="B17" s="29" t="s">
        <v>11</v>
      </c>
      <c r="C17" s="4"/>
      <c r="D17" s="4"/>
      <c r="E17" s="4"/>
      <c r="F17" s="4"/>
      <c r="G17" s="4"/>
      <c r="H17" s="4"/>
      <c r="I17" s="4"/>
      <c r="J17" s="4"/>
      <c r="K17" s="26"/>
      <c r="M17" s="29" t="s">
        <v>98</v>
      </c>
      <c r="N17" s="4"/>
      <c r="O17" s="4"/>
      <c r="P17" s="4"/>
      <c r="Q17" s="150" t="s">
        <v>159</v>
      </c>
      <c r="R17" s="151"/>
      <c r="S17" s="151"/>
      <c r="T17" s="151"/>
      <c r="U17" s="151"/>
      <c r="V17" s="151"/>
      <c r="W17" s="151"/>
      <c r="X17" s="151"/>
      <c r="Y17" s="151"/>
      <c r="Z17" s="152"/>
      <c r="AA17" s="26"/>
      <c r="AB17" s="4"/>
      <c r="AC17" s="4"/>
      <c r="AD17" s="4"/>
      <c r="AE17" s="4"/>
    </row>
    <row r="18" spans="2:31" ht="18" customHeight="1" x14ac:dyDescent="0.35">
      <c r="B18" s="25"/>
      <c r="C18" s="4"/>
      <c r="D18" s="4"/>
      <c r="E18" s="4"/>
      <c r="F18" s="4"/>
      <c r="G18" s="30" t="s">
        <v>12</v>
      </c>
      <c r="H18" s="4"/>
      <c r="I18" s="4"/>
      <c r="J18" s="4"/>
      <c r="K18" s="26"/>
      <c r="M18" s="25"/>
      <c r="N18" s="4"/>
      <c r="O18" s="4"/>
      <c r="P18" s="4"/>
      <c r="Q18" s="153"/>
      <c r="R18" s="154"/>
      <c r="S18" s="154"/>
      <c r="T18" s="154"/>
      <c r="U18" s="154"/>
      <c r="V18" s="154"/>
      <c r="W18" s="154"/>
      <c r="X18" s="154"/>
      <c r="Y18" s="154"/>
      <c r="Z18" s="155"/>
      <c r="AA18" s="26"/>
      <c r="AB18" s="4"/>
      <c r="AC18" s="4"/>
      <c r="AD18" s="4"/>
      <c r="AE18" s="4"/>
    </row>
    <row r="19" spans="2:31" ht="18" customHeight="1" x14ac:dyDescent="0.35">
      <c r="B19" s="25" t="s">
        <v>4</v>
      </c>
      <c r="C19" s="51">
        <f>CONVERT(23000, "ft", "m")</f>
        <v>7010.4</v>
      </c>
      <c r="D19" s="27" t="s">
        <v>25</v>
      </c>
      <c r="E19" s="4"/>
      <c r="F19" s="4"/>
      <c r="G19" s="4"/>
      <c r="H19" s="4"/>
      <c r="I19" s="4"/>
      <c r="J19" s="4"/>
      <c r="K19" s="26"/>
      <c r="M19" s="25" t="s">
        <v>76</v>
      </c>
      <c r="N19" s="50">
        <f>E112</f>
        <v>195.16457895981563</v>
      </c>
      <c r="O19" s="27"/>
      <c r="P19" s="4"/>
      <c r="Q19" s="156"/>
      <c r="R19" s="157"/>
      <c r="S19" s="157"/>
      <c r="T19" s="157"/>
      <c r="U19" s="157"/>
      <c r="V19" s="157"/>
      <c r="W19" s="157"/>
      <c r="X19" s="157"/>
      <c r="Y19" s="157"/>
      <c r="Z19" s="158"/>
      <c r="AA19" s="26"/>
      <c r="AB19" s="4"/>
      <c r="AC19" s="4"/>
      <c r="AD19" s="4"/>
      <c r="AE19" s="4"/>
    </row>
    <row r="20" spans="2:31" ht="18" customHeight="1" x14ac:dyDescent="0.45">
      <c r="B20" s="25" t="s">
        <v>13</v>
      </c>
      <c r="C20" s="53">
        <v>219.08444285205826</v>
      </c>
      <c r="D20" s="27" t="s">
        <v>26</v>
      </c>
      <c r="E20" s="4"/>
      <c r="F20" s="4"/>
      <c r="G20" s="4" t="s">
        <v>6</v>
      </c>
      <c r="H20" s="13">
        <f>CONVERT(350,"psi","Pa")/1000</f>
        <v>2413.165052608927</v>
      </c>
      <c r="I20" s="27" t="s">
        <v>30</v>
      </c>
      <c r="J20" s="4"/>
      <c r="K20" s="26"/>
      <c r="M20" s="25"/>
      <c r="N20" s="4"/>
      <c r="O20" s="4"/>
      <c r="P20" s="4"/>
      <c r="Q20" s="4"/>
      <c r="R20" s="4"/>
      <c r="S20" s="4"/>
      <c r="T20" s="4"/>
      <c r="U20" s="4"/>
      <c r="V20" s="4"/>
      <c r="W20" s="4"/>
      <c r="X20" s="4"/>
      <c r="Y20" s="4"/>
      <c r="Z20" s="4"/>
      <c r="AA20" s="26"/>
      <c r="AB20" s="4"/>
      <c r="AC20" s="4"/>
      <c r="AD20" s="4"/>
      <c r="AE20" s="4"/>
    </row>
    <row r="21" spans="2:31" ht="18" customHeight="1" x14ac:dyDescent="0.45">
      <c r="B21" s="25" t="s">
        <v>17</v>
      </c>
      <c r="C21" s="43">
        <v>1300</v>
      </c>
      <c r="D21" s="27" t="s">
        <v>27</v>
      </c>
      <c r="E21" s="4"/>
      <c r="F21" s="4"/>
      <c r="G21" s="4" t="s">
        <v>10</v>
      </c>
      <c r="H21" s="51">
        <f>CONVERT(700,"psi","Pa")/1000</f>
        <v>4826.330105217854</v>
      </c>
      <c r="I21" s="27" t="s">
        <v>35</v>
      </c>
      <c r="J21" s="4"/>
      <c r="K21" s="26"/>
      <c r="M21" s="29" t="s">
        <v>66</v>
      </c>
      <c r="N21" s="4"/>
      <c r="O21" s="4"/>
      <c r="P21" s="4"/>
      <c r="Q21" s="30" t="s">
        <v>149</v>
      </c>
      <c r="R21" s="4"/>
      <c r="S21" s="4"/>
      <c r="T21" s="4"/>
      <c r="U21" s="4"/>
      <c r="V21" s="4"/>
      <c r="W21" s="4"/>
      <c r="X21" s="27"/>
      <c r="Y21" s="4"/>
      <c r="Z21" s="4"/>
      <c r="AA21" s="26"/>
      <c r="AB21" s="4"/>
      <c r="AC21" s="4"/>
      <c r="AD21" s="4"/>
      <c r="AE21" s="4"/>
    </row>
    <row r="22" spans="2:31" ht="18" customHeight="1" x14ac:dyDescent="0.35">
      <c r="B22" s="28" t="s">
        <v>23</v>
      </c>
      <c r="C22" s="50">
        <f>SQRT(2*9.81*(C19 - C21)) + C20</f>
        <v>553.80529371139744</v>
      </c>
      <c r="D22" s="27" t="s">
        <v>28</v>
      </c>
      <c r="E22" s="4"/>
      <c r="F22" s="4"/>
      <c r="G22" s="31" t="s">
        <v>7</v>
      </c>
      <c r="H22" s="52">
        <v>3559.3757019111981</v>
      </c>
      <c r="I22" s="27" t="s">
        <v>31</v>
      </c>
      <c r="J22" s="4"/>
      <c r="K22" s="26"/>
      <c r="M22" s="25"/>
      <c r="N22" s="4"/>
      <c r="P22" s="4"/>
      <c r="Q22" s="4"/>
      <c r="R22" s="4"/>
      <c r="S22" s="4"/>
      <c r="T22" s="4"/>
      <c r="U22" s="4"/>
      <c r="V22" s="4"/>
      <c r="W22" s="4"/>
      <c r="X22" s="4"/>
      <c r="Y22" s="4"/>
      <c r="Z22" s="4"/>
      <c r="AA22" s="26"/>
      <c r="AB22" s="4"/>
      <c r="AC22" s="4"/>
      <c r="AD22" s="4"/>
      <c r="AE22" s="4"/>
    </row>
    <row r="23" spans="2:31" ht="18" customHeight="1" x14ac:dyDescent="0.45">
      <c r="B23" s="25"/>
      <c r="C23" s="4"/>
      <c r="D23" s="4"/>
      <c r="E23" s="4"/>
      <c r="F23" s="4"/>
      <c r="G23" s="4"/>
      <c r="H23" s="4"/>
      <c r="I23" s="4"/>
      <c r="J23" s="4"/>
      <c r="K23" s="26"/>
      <c r="M23" s="25" t="s">
        <v>67</v>
      </c>
      <c r="N23" s="12">
        <v>28.85</v>
      </c>
      <c r="O23" s="27" t="s">
        <v>189</v>
      </c>
      <c r="P23" s="4"/>
      <c r="Q23" s="4"/>
      <c r="R23" s="37" t="s">
        <v>96</v>
      </c>
      <c r="S23" s="37"/>
      <c r="T23" s="37"/>
      <c r="U23" s="37"/>
      <c r="V23" s="37"/>
      <c r="W23" s="37"/>
      <c r="X23" s="37"/>
      <c r="Y23" s="37"/>
      <c r="Z23" s="37"/>
      <c r="AA23" s="26"/>
      <c r="AB23" s="4"/>
      <c r="AC23" s="4"/>
      <c r="AD23" s="4"/>
      <c r="AE23" s="4"/>
    </row>
    <row r="24" spans="2:31" ht="18" customHeight="1" x14ac:dyDescent="0.45">
      <c r="B24" s="29" t="s">
        <v>14</v>
      </c>
      <c r="C24" s="4"/>
      <c r="D24" s="4"/>
      <c r="E24" s="4"/>
      <c r="F24" s="4"/>
      <c r="G24" s="30" t="s">
        <v>55</v>
      </c>
      <c r="H24" s="4"/>
      <c r="I24" s="4"/>
      <c r="J24" s="4"/>
      <c r="K24" s="26"/>
      <c r="M24" s="25" t="s">
        <v>68</v>
      </c>
      <c r="N24" s="14">
        <f>N23*EXP(C22/N19/9.81)</f>
        <v>38.527379206415873</v>
      </c>
      <c r="O24" s="27" t="s">
        <v>87</v>
      </c>
      <c r="P24" s="4"/>
      <c r="Q24" s="4" t="s">
        <v>77</v>
      </c>
      <c r="R24" s="56">
        <v>602.40690301221741</v>
      </c>
      <c r="S24" s="27" t="s">
        <v>78</v>
      </c>
      <c r="T24" s="27"/>
      <c r="U24" s="27"/>
      <c r="V24" s="27"/>
      <c r="W24" s="27"/>
      <c r="X24" s="4"/>
      <c r="Y24" s="4"/>
      <c r="Z24" s="4"/>
      <c r="AA24" s="26"/>
      <c r="AB24" s="4"/>
      <c r="AC24" s="4"/>
      <c r="AD24" s="4"/>
      <c r="AE24" s="4"/>
    </row>
    <row r="25" spans="2:31" ht="18" customHeight="1" x14ac:dyDescent="0.45">
      <c r="B25" s="25"/>
      <c r="C25" s="4"/>
      <c r="D25" s="4"/>
      <c r="E25" s="4"/>
      <c r="F25" s="4"/>
      <c r="G25" s="4"/>
      <c r="H25" s="4"/>
      <c r="I25" s="4"/>
      <c r="J25" s="4"/>
      <c r="K25" s="26"/>
      <c r="M25" s="25" t="s">
        <v>69</v>
      </c>
      <c r="N25" s="14">
        <f>N24-N23</f>
        <v>9.6773792064158712</v>
      </c>
      <c r="O25" s="27" t="s">
        <v>88</v>
      </c>
      <c r="P25" s="4"/>
      <c r="Q25" s="4" t="s">
        <v>79</v>
      </c>
      <c r="R25" s="43">
        <v>1</v>
      </c>
      <c r="S25" s="4"/>
      <c r="T25" s="4"/>
      <c r="U25" s="4"/>
      <c r="V25" s="4"/>
      <c r="W25" s="4"/>
      <c r="X25" s="4"/>
      <c r="Y25" s="4"/>
      <c r="Z25" s="4"/>
      <c r="AA25" s="26"/>
      <c r="AB25" s="4"/>
      <c r="AC25" s="4"/>
      <c r="AD25" s="4"/>
      <c r="AE25" s="4"/>
    </row>
    <row r="26" spans="2:31" ht="18" customHeight="1" x14ac:dyDescent="0.45">
      <c r="B26" s="25" t="s">
        <v>15</v>
      </c>
      <c r="C26" s="9">
        <v>1405</v>
      </c>
      <c r="D26" s="44" t="s">
        <v>29</v>
      </c>
      <c r="E26" s="10"/>
      <c r="F26" s="4"/>
      <c r="G26" s="4" t="s">
        <v>50</v>
      </c>
      <c r="H26" s="9">
        <v>950</v>
      </c>
      <c r="I26" s="27" t="s">
        <v>51</v>
      </c>
      <c r="J26" s="4"/>
      <c r="K26" s="26"/>
      <c r="M26" s="25" t="s">
        <v>70</v>
      </c>
      <c r="N26" s="47">
        <f>N25/(1+C32)</f>
        <v>1.4729648716005892</v>
      </c>
      <c r="O26" s="27" t="s">
        <v>89</v>
      </c>
      <c r="P26" s="4"/>
      <c r="Q26" s="4" t="s">
        <v>80</v>
      </c>
      <c r="R26" s="45">
        <f>N31/R25/R24</f>
        <v>2.6163974116201363E-3</v>
      </c>
      <c r="S26" s="38">
        <f>R26*100^2</f>
        <v>26.163974116201363</v>
      </c>
      <c r="T26" s="39" t="s">
        <v>164</v>
      </c>
      <c r="U26" s="4"/>
      <c r="V26" s="4"/>
      <c r="W26" s="4"/>
      <c r="X26" s="4"/>
      <c r="Y26" s="4"/>
      <c r="Z26" s="4"/>
      <c r="AA26" s="26"/>
      <c r="AB26" s="4"/>
      <c r="AC26" s="4"/>
      <c r="AD26" s="4"/>
      <c r="AE26" s="4"/>
    </row>
    <row r="27" spans="2:31" ht="18" customHeight="1" x14ac:dyDescent="0.45">
      <c r="B27" s="25" t="s">
        <v>16</v>
      </c>
      <c r="C27" s="14">
        <f>101.325*(1 - 0.0065*C26/288.16)^(-9.81/-0.0065/287)</f>
        <v>85.539282863260624</v>
      </c>
      <c r="D27" s="27" t="s">
        <v>33</v>
      </c>
      <c r="E27" s="4"/>
      <c r="F27" s="4"/>
      <c r="G27" s="4" t="s">
        <v>54</v>
      </c>
      <c r="H27" s="9">
        <v>1.55E-4</v>
      </c>
      <c r="I27" s="27" t="s">
        <v>56</v>
      </c>
      <c r="J27" s="4"/>
      <c r="K27" s="26"/>
      <c r="M27" s="25" t="s">
        <v>71</v>
      </c>
      <c r="N27" s="55">
        <f>N25-N26</f>
        <v>8.2044143348152829</v>
      </c>
      <c r="O27" s="27" t="s">
        <v>90</v>
      </c>
      <c r="P27" s="4"/>
      <c r="Q27" s="4" t="s">
        <v>82</v>
      </c>
      <c r="R27" s="49">
        <f>2*SQRT(R26/PI())</f>
        <v>5.7717420673636138E-2</v>
      </c>
      <c r="S27" s="38">
        <f>R27*100</f>
        <v>5.7717420673636139</v>
      </c>
      <c r="T27" s="39" t="s">
        <v>83</v>
      </c>
      <c r="U27" s="40">
        <f>CONVERT(R27, "m", "in")</f>
        <v>2.2723393965998482</v>
      </c>
      <c r="V27" s="4" t="s">
        <v>81</v>
      </c>
      <c r="W27" s="4"/>
      <c r="X27" s="4"/>
      <c r="Y27" s="4"/>
      <c r="Z27" s="4"/>
      <c r="AA27" s="26"/>
      <c r="AB27" s="4"/>
      <c r="AC27" s="4"/>
      <c r="AD27" s="4"/>
      <c r="AE27" s="4"/>
    </row>
    <row r="28" spans="2:31" ht="18" customHeight="1" x14ac:dyDescent="0.45">
      <c r="B28" s="25" t="s">
        <v>16</v>
      </c>
      <c r="C28" s="14">
        <f>101.325*(1 - 0.0065*2/3*(C26 + C21)/288.16)^(-9.81/-0.0065/287)</f>
        <v>81.446928812116781</v>
      </c>
      <c r="D28" s="27" t="s">
        <v>34</v>
      </c>
      <c r="E28" s="4"/>
      <c r="F28" s="4"/>
      <c r="G28" s="4" t="s">
        <v>53</v>
      </c>
      <c r="H28" s="9">
        <v>0.5</v>
      </c>
      <c r="I28" s="27" t="s">
        <v>57</v>
      </c>
      <c r="J28" s="4"/>
      <c r="K28" s="26"/>
      <c r="M28" s="25" t="s">
        <v>72</v>
      </c>
      <c r="N28" s="45">
        <f>N23/N24</f>
        <v>0.74881812867239306</v>
      </c>
      <c r="O28" s="27" t="s">
        <v>91</v>
      </c>
      <c r="P28" s="4"/>
      <c r="Q28" s="4" t="s">
        <v>84</v>
      </c>
      <c r="R28" s="49">
        <f>(N30/((H26*H27*R24^H28)*PI()*R27))^(1/(0+1))</f>
        <v>0.4317987638212914</v>
      </c>
      <c r="S28" s="38">
        <f>R28*100</f>
        <v>43.179876382129137</v>
      </c>
      <c r="T28" s="39" t="s">
        <v>83</v>
      </c>
      <c r="U28" s="62">
        <f>CONVERT(R28, "m", "in")</f>
        <v>16.999951331546903</v>
      </c>
      <c r="V28" s="4" t="s">
        <v>81</v>
      </c>
      <c r="W28" s="4"/>
      <c r="X28" s="4"/>
      <c r="Y28" s="4"/>
      <c r="Z28" s="4"/>
      <c r="AA28" s="26"/>
      <c r="AB28" s="4"/>
      <c r="AC28" s="4"/>
      <c r="AD28" s="4"/>
      <c r="AE28" s="4"/>
    </row>
    <row r="29" spans="2:31" ht="18" customHeight="1" x14ac:dyDescent="0.45">
      <c r="B29" s="25"/>
      <c r="C29" s="4"/>
      <c r="D29" s="4"/>
      <c r="E29" s="4"/>
      <c r="F29" s="4"/>
      <c r="G29" s="4"/>
      <c r="H29" s="4"/>
      <c r="I29" s="4"/>
      <c r="J29" s="4"/>
      <c r="K29" s="26"/>
      <c r="M29" s="25" t="s">
        <v>73</v>
      </c>
      <c r="N29" s="47">
        <f>H22/N19/9.81</f>
        <v>1.8591045981895999</v>
      </c>
      <c r="O29" s="27" t="s">
        <v>92</v>
      </c>
      <c r="P29" s="4"/>
      <c r="Q29" s="4" t="s">
        <v>85</v>
      </c>
      <c r="R29" s="45">
        <f>SQRT(4*N26/PI()/R28/H26/R25 + R27^2)</f>
        <v>8.8899993924124787E-2</v>
      </c>
      <c r="S29" s="38">
        <f t="shared" ref="S29:S30" si="0">R29*100</f>
        <v>8.8899993924124789</v>
      </c>
      <c r="T29" s="39" t="s">
        <v>83</v>
      </c>
      <c r="U29" s="57">
        <f t="shared" ref="U29:U30" si="1">CONVERT(R29, "m", "in")</f>
        <v>3.4999997607923143</v>
      </c>
      <c r="V29" s="4" t="s">
        <v>81</v>
      </c>
      <c r="W29" s="27" t="s">
        <v>95</v>
      </c>
      <c r="X29" s="4"/>
      <c r="Y29" s="4"/>
      <c r="Z29" s="4"/>
      <c r="AA29" s="26"/>
      <c r="AB29" s="4"/>
      <c r="AC29" s="4"/>
      <c r="AD29" s="4"/>
      <c r="AE29" s="4"/>
    </row>
    <row r="30" spans="2:31" ht="18" customHeight="1" x14ac:dyDescent="0.45">
      <c r="B30" s="29" t="s">
        <v>24</v>
      </c>
      <c r="C30" s="4"/>
      <c r="D30" s="4"/>
      <c r="E30" s="4"/>
      <c r="F30" s="4"/>
      <c r="G30" s="30" t="s">
        <v>61</v>
      </c>
      <c r="H30" s="4"/>
      <c r="I30" s="4"/>
      <c r="J30" s="4"/>
      <c r="K30" s="26"/>
      <c r="M30" s="25" t="s">
        <v>74</v>
      </c>
      <c r="N30" s="45">
        <f>N29/(1 + C32)</f>
        <v>0.2829687364063318</v>
      </c>
      <c r="O30" s="27" t="s">
        <v>93</v>
      </c>
      <c r="P30" s="4"/>
      <c r="Q30" s="4" t="s">
        <v>86</v>
      </c>
      <c r="R30" s="45">
        <f>(R29-R27)/2</f>
        <v>1.5591286625244324E-2</v>
      </c>
      <c r="S30" s="38">
        <f t="shared" si="0"/>
        <v>1.5591286625244325</v>
      </c>
      <c r="T30" s="39" t="s">
        <v>83</v>
      </c>
      <c r="U30" s="41">
        <f t="shared" si="1"/>
        <v>0.6138301820962333</v>
      </c>
      <c r="V30" s="4" t="s">
        <v>81</v>
      </c>
      <c r="W30" s="4"/>
      <c r="X30" s="4"/>
      <c r="Y30" s="4"/>
      <c r="Z30" s="4"/>
      <c r="AA30" s="26"/>
      <c r="AB30" s="4"/>
      <c r="AC30" s="4"/>
      <c r="AD30" s="4"/>
      <c r="AE30" s="4"/>
    </row>
    <row r="31" spans="2:31" ht="18" customHeight="1" x14ac:dyDescent="0.45">
      <c r="B31" s="25"/>
      <c r="C31" s="4"/>
      <c r="D31" s="4"/>
      <c r="E31" s="4"/>
      <c r="F31" s="4"/>
      <c r="G31" s="4"/>
      <c r="H31" s="4"/>
      <c r="J31" s="4"/>
      <c r="K31" s="26"/>
      <c r="M31" s="25" t="s">
        <v>75</v>
      </c>
      <c r="N31" s="54">
        <f>N29-N30</f>
        <v>1.5761358617832681</v>
      </c>
      <c r="O31" s="27" t="s">
        <v>94</v>
      </c>
      <c r="P31" s="4"/>
      <c r="Q31" s="4"/>
      <c r="R31" s="4"/>
      <c r="S31" s="4"/>
      <c r="T31" s="4"/>
      <c r="U31" s="4"/>
      <c r="V31" s="4"/>
      <c r="W31" s="4"/>
      <c r="X31" s="4"/>
      <c r="Y31" s="4"/>
      <c r="Z31" s="4"/>
      <c r="AA31" s="26"/>
      <c r="AB31" s="4"/>
      <c r="AC31" s="4"/>
      <c r="AD31" s="4"/>
      <c r="AE31" s="4"/>
    </row>
    <row r="32" spans="2:31" ht="18" customHeight="1" x14ac:dyDescent="0.35">
      <c r="B32" s="25"/>
      <c r="C32" s="63">
        <v>5.57</v>
      </c>
      <c r="D32" s="27" t="s">
        <v>32</v>
      </c>
      <c r="E32" s="4"/>
      <c r="F32" s="4"/>
      <c r="G32" s="4" t="s">
        <v>62</v>
      </c>
      <c r="H32" s="9">
        <v>2.85</v>
      </c>
      <c r="I32" s="27" t="s">
        <v>63</v>
      </c>
      <c r="J32" s="4"/>
      <c r="K32" s="26"/>
      <c r="M32" s="25"/>
      <c r="N32" s="4"/>
      <c r="O32" s="4"/>
      <c r="P32" s="4"/>
      <c r="Q32" s="4"/>
      <c r="R32" s="4"/>
      <c r="S32" s="4"/>
      <c r="T32" s="4"/>
      <c r="U32" s="4"/>
      <c r="V32" s="4"/>
      <c r="W32" s="4"/>
      <c r="X32" s="4"/>
      <c r="Y32" s="4"/>
      <c r="Z32" s="4"/>
      <c r="AA32" s="26"/>
      <c r="AB32" s="4"/>
      <c r="AC32" s="4"/>
      <c r="AD32" s="4"/>
      <c r="AE32" s="4"/>
    </row>
    <row r="33" spans="2:31" ht="18" customHeight="1" x14ac:dyDescent="0.35">
      <c r="B33" s="28" t="s">
        <v>18</v>
      </c>
      <c r="C33" s="43">
        <v>1.18</v>
      </c>
      <c r="D33" s="27" t="s">
        <v>40</v>
      </c>
      <c r="E33" s="4"/>
      <c r="F33" s="4"/>
      <c r="G33" s="4" t="s">
        <v>143</v>
      </c>
      <c r="H33" s="9">
        <v>141.30000000000001</v>
      </c>
      <c r="I33" s="27" t="s">
        <v>144</v>
      </c>
      <c r="J33" s="4"/>
      <c r="K33" s="26"/>
      <c r="M33" s="29" t="s">
        <v>97</v>
      </c>
      <c r="N33" s="4"/>
      <c r="O33" s="4"/>
      <c r="P33" s="4"/>
      <c r="Q33" s="30" t="s">
        <v>103</v>
      </c>
      <c r="R33" s="4"/>
      <c r="S33" s="4"/>
      <c r="T33" s="4"/>
      <c r="U33" s="4"/>
      <c r="V33" s="4"/>
      <c r="W33" s="4"/>
      <c r="X33" s="4"/>
      <c r="Y33" s="4"/>
      <c r="Z33" s="4"/>
      <c r="AA33" s="26"/>
      <c r="AB33" s="4"/>
      <c r="AC33" s="4"/>
      <c r="AD33" s="4"/>
      <c r="AE33" s="4"/>
    </row>
    <row r="34" spans="2:31" ht="18" customHeight="1" x14ac:dyDescent="0.35">
      <c r="B34" s="28" t="s">
        <v>19</v>
      </c>
      <c r="C34" s="9">
        <v>24.8</v>
      </c>
      <c r="D34" s="27" t="s">
        <v>39</v>
      </c>
      <c r="E34" s="4"/>
      <c r="F34" s="4"/>
      <c r="G34" s="4"/>
      <c r="H34" s="4"/>
      <c r="I34" s="4"/>
      <c r="J34" s="4"/>
      <c r="K34" s="26"/>
      <c r="L34" s="11"/>
      <c r="M34" s="25"/>
      <c r="N34" s="4"/>
      <c r="O34" s="4"/>
      <c r="P34" s="4"/>
      <c r="Q34" s="4"/>
      <c r="R34" s="4"/>
      <c r="S34" s="4"/>
      <c r="T34" s="4"/>
      <c r="U34" s="4"/>
      <c r="V34" s="4"/>
      <c r="W34" s="4"/>
      <c r="X34" s="4"/>
      <c r="Y34" s="4"/>
      <c r="Z34" s="4"/>
      <c r="AA34" s="26"/>
      <c r="AB34" s="4"/>
      <c r="AC34" s="4"/>
      <c r="AD34" s="4"/>
      <c r="AE34" s="4"/>
    </row>
    <row r="35" spans="2:31" ht="18" customHeight="1" x14ac:dyDescent="0.45">
      <c r="B35" s="28" t="s">
        <v>20</v>
      </c>
      <c r="C35" s="9">
        <v>3150</v>
      </c>
      <c r="D35" s="27" t="s">
        <v>38</v>
      </c>
      <c r="E35" s="4"/>
      <c r="F35" s="4" t="s">
        <v>219</v>
      </c>
      <c r="G35" s="4"/>
      <c r="H35" s="27"/>
      <c r="I35" s="27"/>
      <c r="J35" s="27"/>
      <c r="K35" s="32"/>
      <c r="M35" s="25" t="s">
        <v>99</v>
      </c>
      <c r="N35" s="45">
        <f>N29*C39/(H20*1000)</f>
        <v>1.1053275317421609E-3</v>
      </c>
      <c r="O35" s="27" t="s">
        <v>104</v>
      </c>
      <c r="P35" s="4"/>
      <c r="Q35" s="4" t="s">
        <v>99</v>
      </c>
      <c r="R35" s="66">
        <f>PI()*R38^2/4</f>
        <v>1.0653524748024891E-3</v>
      </c>
      <c r="S35" s="27" t="s">
        <v>104</v>
      </c>
      <c r="T35" s="4"/>
      <c r="U35" s="4"/>
      <c r="V35" s="4"/>
      <c r="W35" s="4"/>
      <c r="X35" s="4"/>
      <c r="Y35" s="4"/>
      <c r="Z35" s="4"/>
      <c r="AA35" s="26"/>
      <c r="AB35" s="4"/>
      <c r="AC35" s="4"/>
      <c r="AD35" s="4"/>
      <c r="AE35" s="4"/>
    </row>
    <row r="36" spans="2:31" ht="18" customHeight="1" x14ac:dyDescent="0.45">
      <c r="B36" s="28" t="s">
        <v>8</v>
      </c>
      <c r="C36" s="58">
        <v>0.9</v>
      </c>
      <c r="D36" s="27" t="s">
        <v>36</v>
      </c>
      <c r="E36" s="4"/>
      <c r="F36" s="4"/>
      <c r="G36" s="4"/>
      <c r="H36" s="4"/>
      <c r="I36" s="4"/>
      <c r="J36" s="4"/>
      <c r="K36" s="26"/>
      <c r="M36" s="25" t="s">
        <v>100</v>
      </c>
      <c r="N36" s="45">
        <f>N35*N37</f>
        <v>5.4698788056225444E-3</v>
      </c>
      <c r="O36" s="27" t="s">
        <v>105</v>
      </c>
      <c r="P36" s="4"/>
      <c r="Q36" s="4" t="s">
        <v>100</v>
      </c>
      <c r="R36" s="66">
        <f>PI()*R39^2/4</f>
        <v>5.4347544054950984E-3</v>
      </c>
      <c r="S36" s="27" t="s">
        <v>105</v>
      </c>
      <c r="T36" s="27"/>
      <c r="U36" s="27"/>
      <c r="V36" s="4"/>
      <c r="W36" s="4"/>
      <c r="X36" s="4"/>
      <c r="Y36" s="4"/>
      <c r="Z36" s="4"/>
      <c r="AA36" s="26"/>
      <c r="AB36" s="4"/>
      <c r="AC36" s="4"/>
      <c r="AD36" s="4"/>
      <c r="AE36" s="4"/>
    </row>
    <row r="37" spans="2:31" ht="18" customHeight="1" x14ac:dyDescent="0.35">
      <c r="B37" s="28" t="s">
        <v>9</v>
      </c>
      <c r="C37" s="58">
        <v>0.9</v>
      </c>
      <c r="D37" s="27" t="s">
        <v>37</v>
      </c>
      <c r="E37" s="4"/>
      <c r="F37" s="4"/>
      <c r="G37" s="4"/>
      <c r="H37" s="4"/>
      <c r="I37" s="4"/>
      <c r="J37" s="4"/>
      <c r="K37" s="26"/>
      <c r="M37" s="28" t="s">
        <v>47</v>
      </c>
      <c r="N37" s="45">
        <f>D132</f>
        <v>4.9486497427610443</v>
      </c>
      <c r="O37" s="27" t="s">
        <v>106</v>
      </c>
      <c r="P37" s="4"/>
      <c r="Q37" s="31" t="s">
        <v>47</v>
      </c>
      <c r="R37" s="66">
        <f>R36/R35</f>
        <v>5.1013674197384056</v>
      </c>
      <c r="S37" s="27" t="s">
        <v>106</v>
      </c>
      <c r="T37" s="4"/>
      <c r="U37" s="4"/>
      <c r="V37" s="4"/>
      <c r="W37" s="4"/>
      <c r="X37" s="4"/>
      <c r="Y37" s="4"/>
      <c r="Z37" s="4"/>
      <c r="AA37" s="26"/>
      <c r="AB37" s="4"/>
      <c r="AC37" s="4"/>
      <c r="AD37" s="4"/>
      <c r="AE37" s="4"/>
    </row>
    <row r="38" spans="2:31" ht="18" customHeight="1" x14ac:dyDescent="0.45">
      <c r="B38" s="25" t="s">
        <v>22</v>
      </c>
      <c r="C38" s="14">
        <f>8314/C34</f>
        <v>335.24193548387098</v>
      </c>
      <c r="D38" s="27" t="s">
        <v>41</v>
      </c>
      <c r="E38" s="4"/>
      <c r="F38" s="4"/>
      <c r="G38" s="4"/>
      <c r="H38" s="4"/>
      <c r="I38" s="4"/>
      <c r="J38" s="4"/>
      <c r="K38" s="26"/>
      <c r="M38" s="25" t="s">
        <v>101</v>
      </c>
      <c r="N38" s="60">
        <f>SQRT(N35/PI())*2</f>
        <v>3.7514620127340088E-2</v>
      </c>
      <c r="O38" s="27" t="s">
        <v>107</v>
      </c>
      <c r="P38" s="4"/>
      <c r="Q38" s="4" t="s">
        <v>101</v>
      </c>
      <c r="R38" s="67">
        <f>CONVERT(1.45, "in", "m")</f>
        <v>3.6830000000000002E-2</v>
      </c>
      <c r="S38" s="27" t="s">
        <v>107</v>
      </c>
      <c r="T38" s="4"/>
      <c r="U38" s="4"/>
      <c r="V38" s="4"/>
      <c r="W38" s="4"/>
      <c r="X38" s="4"/>
      <c r="Y38" s="4"/>
      <c r="Z38" s="4"/>
      <c r="AA38" s="26"/>
      <c r="AB38" s="4"/>
      <c r="AC38" s="4"/>
      <c r="AD38" s="4"/>
      <c r="AE38" s="4"/>
    </row>
    <row r="39" spans="2:31" ht="18" customHeight="1" x14ac:dyDescent="0.45">
      <c r="B39" s="28" t="s">
        <v>21</v>
      </c>
      <c r="C39" s="14">
        <f>C36*SQRT(C33*C35*C38)/C33/(2/(C33 + 1))^((C33 + 1)/(2*C33 - 2))</f>
        <v>1434.7432489189291</v>
      </c>
      <c r="D39" s="27" t="s">
        <v>42</v>
      </c>
      <c r="E39" s="4"/>
      <c r="F39" s="4"/>
      <c r="G39" s="4"/>
      <c r="H39" s="4"/>
      <c r="I39" s="4"/>
      <c r="J39" s="4"/>
      <c r="K39" s="26"/>
      <c r="M39" s="25" t="s">
        <v>102</v>
      </c>
      <c r="N39" s="60">
        <f>SQRT(N36/PI())*2</f>
        <v>8.3453376206282778E-2</v>
      </c>
      <c r="O39" s="27" t="s">
        <v>108</v>
      </c>
      <c r="P39" s="4"/>
      <c r="Q39" s="4" t="s">
        <v>102</v>
      </c>
      <c r="R39" s="67">
        <f>CONVERT(3.275, "in", "m")</f>
        <v>8.3184999999999995E-2</v>
      </c>
      <c r="S39" s="27" t="s">
        <v>108</v>
      </c>
      <c r="T39" s="4"/>
      <c r="U39" s="4"/>
      <c r="V39" s="4"/>
      <c r="W39" s="4"/>
      <c r="X39" s="4"/>
      <c r="Y39" s="4"/>
      <c r="Z39" s="4"/>
      <c r="AA39" s="26"/>
      <c r="AB39" s="4"/>
      <c r="AC39" s="4"/>
      <c r="AD39" s="4"/>
      <c r="AE39" s="4"/>
    </row>
    <row r="40" spans="2:31" ht="18" customHeight="1" thickBot="1" x14ac:dyDescent="0.4">
      <c r="B40" s="35"/>
      <c r="C40" s="33"/>
      <c r="D40" s="33"/>
      <c r="E40" s="33"/>
      <c r="F40" s="33"/>
      <c r="G40" s="33"/>
      <c r="H40" s="33"/>
      <c r="I40" s="33"/>
      <c r="J40" s="33"/>
      <c r="K40" s="34"/>
      <c r="M40" s="35"/>
      <c r="N40" s="33"/>
      <c r="O40" s="33"/>
      <c r="P40" s="33"/>
      <c r="Q40" s="33"/>
      <c r="R40" s="33"/>
      <c r="S40" s="33"/>
      <c r="T40" s="33"/>
      <c r="U40" s="33"/>
      <c r="V40" s="33"/>
      <c r="W40" s="33"/>
      <c r="X40" s="33"/>
      <c r="Y40" s="33"/>
      <c r="Z40" s="33"/>
      <c r="AA40" s="34"/>
      <c r="AB40" s="4"/>
      <c r="AC40" s="4"/>
      <c r="AD40" s="4"/>
      <c r="AE40" s="4"/>
    </row>
    <row r="41" spans="2:31" x14ac:dyDescent="0.35">
      <c r="AB41" s="4"/>
      <c r="AC41" s="4"/>
      <c r="AD41" s="4"/>
      <c r="AE41" s="4"/>
    </row>
    <row r="42" spans="2:31" x14ac:dyDescent="0.35">
      <c r="B42" s="8" t="s">
        <v>148</v>
      </c>
      <c r="AB42" s="4"/>
      <c r="AC42" s="4"/>
      <c r="AD42" s="4"/>
      <c r="AE42" s="4"/>
    </row>
    <row r="43" spans="2:31" x14ac:dyDescent="0.35">
      <c r="AB43" s="4"/>
      <c r="AC43" s="4"/>
      <c r="AD43" s="4"/>
      <c r="AE43" s="4"/>
    </row>
    <row r="44" spans="2:31" x14ac:dyDescent="0.35">
      <c r="E44" s="15" t="s">
        <v>43</v>
      </c>
      <c r="F44" s="16" t="s">
        <v>44</v>
      </c>
      <c r="AB44" s="4"/>
      <c r="AC44" s="4"/>
      <c r="AD44" s="4"/>
      <c r="AE44" s="4"/>
    </row>
    <row r="45" spans="2:31" ht="16.5" x14ac:dyDescent="0.45">
      <c r="B45" t="s">
        <v>45</v>
      </c>
      <c r="C45" t="s">
        <v>46</v>
      </c>
      <c r="D45" s="7" t="s">
        <v>47</v>
      </c>
      <c r="E45" s="7" t="s">
        <v>48</v>
      </c>
      <c r="F45" s="7" t="s">
        <v>48</v>
      </c>
      <c r="AB45" s="4"/>
      <c r="AC45" s="4"/>
      <c r="AD45" s="4"/>
      <c r="AE45" s="4"/>
    </row>
    <row r="46" spans="2:31" x14ac:dyDescent="0.35">
      <c r="B46">
        <v>60</v>
      </c>
      <c r="C46" s="14">
        <f t="shared" ref="C46:C77" si="2">SQRT(2/($C$33-1)*((B46/$H$20)^((1-$C$33)/$C$33) - 1))</f>
        <v>2.8999798326256792</v>
      </c>
      <c r="D46" s="14">
        <f t="shared" ref="D46:D77" si="3">1/C46*(2/($C$33+1)*(1 + ($C$33-1)/2*C46^2))^(($C$33+1)/(2*$C$33-2))</f>
        <v>6.2091241189396955</v>
      </c>
      <c r="E46" s="14">
        <f>$C$36*$C$39/9.81*($C$33*SQRT(2/($C$33-1)*(2/($C$33+1))^(($C$33+1)/($C$33-1))*(1 - (B46/$H$20)^(($C$33-1)/$C$33))) + D46/$H$20*(B46 - $C$28))</f>
        <v>194.39375566674155</v>
      </c>
      <c r="F46" s="14">
        <f>$C$36*$C$39/9.81*($C$33*SQRT(2/($C$33-1)*(2/($C$33+1))^(($C$33+1)/($C$33-1))*(1 - (B46/$H$20)^(($C$33-1)/$C$33))) + D46/$H$20*(B46 - $C$27))</f>
        <v>193.00775255332755</v>
      </c>
      <c r="AB46" s="4"/>
      <c r="AC46" s="4"/>
      <c r="AD46" s="4"/>
      <c r="AE46" s="4"/>
    </row>
    <row r="47" spans="2:31" x14ac:dyDescent="0.35">
      <c r="B47">
        <v>60.25</v>
      </c>
      <c r="C47" s="14">
        <f t="shared" si="2"/>
        <v>2.8978449442883432</v>
      </c>
      <c r="D47" s="14">
        <f t="shared" si="3"/>
        <v>6.1898782221797477</v>
      </c>
      <c r="E47" s="14">
        <f t="shared" ref="E47:E78" si="4">$C$37*$C$39/9.81*($C$33*SQRT(2/($C$33-1)*(2/($C$33+1))^(($C$33+1)/($C$33-1))*(1 - (B47/$H$20)^(($C$33-1)/$C$33))) + D47/$H$20*(B47 - $C$28))</f>
        <v>194.41613919125649</v>
      </c>
      <c r="F47" s="14">
        <f>$C$37*$C$39/9.81*($C$33*SQRT(2/($C$33-1)*(2/($C$33+1))^(($C$33+1)/($C$33-1))*(1 - (B47/$H$20)^(($C$33-1)/$C$33))) + D47/$H$20*(B47 - $C$27))</f>
        <v>193.03443215444179</v>
      </c>
      <c r="AB47" s="4"/>
      <c r="AC47" s="4"/>
      <c r="AD47" s="4"/>
      <c r="AE47" s="4"/>
    </row>
    <row r="48" spans="2:31" x14ac:dyDescent="0.35">
      <c r="B48">
        <v>60.5</v>
      </c>
      <c r="C48" s="14">
        <f t="shared" si="2"/>
        <v>2.8957186786560687</v>
      </c>
      <c r="D48" s="14">
        <f t="shared" si="3"/>
        <v>6.1707750956857215</v>
      </c>
      <c r="E48" s="14">
        <f t="shared" si="4"/>
        <v>194.43809617078543</v>
      </c>
      <c r="F48" s="14">
        <f t="shared" ref="F48:F78" si="5">$C$37*$C$39/9.81*($C$33*SQRT(2/($C$33-1)*(2/($C$33+1))^(($C$33+1)/($C$33-1))*(1 - (B48/$H$20)^(($C$33-1)/$C$33))) + D48/$H$20*(B48 - $C$27))</f>
        <v>193.0606533413355</v>
      </c>
    </row>
    <row r="49" spans="2:8" x14ac:dyDescent="0.35">
      <c r="B49">
        <v>60.75</v>
      </c>
      <c r="C49" s="14">
        <f t="shared" si="2"/>
        <v>2.8936009641888512</v>
      </c>
      <c r="D49" s="14">
        <f t="shared" si="3"/>
        <v>6.1518130947256182</v>
      </c>
      <c r="E49" s="14">
        <f t="shared" si="4"/>
        <v>194.45963236711071</v>
      </c>
      <c r="F49" s="14">
        <f>$C$37*$C$39/9.81*($C$33*SQRT(2/($C$33-1)*(2/($C$33+1))^(($C$33+1)/($C$33-1))*(1 - (B49/$H$20)^(($C$33-1)/$C$33))) + D49/$H$20*(B49 - $C$27))</f>
        <v>193.08642224292871</v>
      </c>
    </row>
    <row r="50" spans="2:8" x14ac:dyDescent="0.35">
      <c r="B50">
        <v>61</v>
      </c>
      <c r="C50" s="14">
        <f t="shared" si="2"/>
        <v>2.8914917302336125</v>
      </c>
      <c r="D50" s="14">
        <f t="shared" si="3"/>
        <v>6.1329906002046641</v>
      </c>
      <c r="E50" s="14">
        <f t="shared" si="4"/>
        <v>194.48075344596154</v>
      </c>
      <c r="F50" s="14">
        <f t="shared" si="5"/>
        <v>193.1117448863655</v>
      </c>
    </row>
    <row r="51" spans="2:8" x14ac:dyDescent="0.35">
      <c r="B51">
        <v>61.25</v>
      </c>
      <c r="C51" s="14">
        <f t="shared" si="2"/>
        <v>2.8893909070096115</v>
      </c>
      <c r="D51" s="14">
        <f t="shared" si="3"/>
        <v>6.1143060181625035</v>
      </c>
      <c r="E51" s="14">
        <f t="shared" si="4"/>
        <v>194.50146497896947</v>
      </c>
      <c r="F51" s="14">
        <f t="shared" si="5"/>
        <v>193.136627199082</v>
      </c>
    </row>
    <row r="52" spans="2:8" x14ac:dyDescent="0.35">
      <c r="B52">
        <v>61.5</v>
      </c>
      <c r="C52" s="14">
        <f t="shared" si="2"/>
        <v>2.887298425594147</v>
      </c>
      <c r="D52" s="14">
        <f t="shared" si="3"/>
        <v>6.0957577792820299</v>
      </c>
      <c r="E52" s="14">
        <f t="shared" si="4"/>
        <v>194.52177244557751</v>
      </c>
      <c r="F52" s="14">
        <f t="shared" si="5"/>
        <v>193.16107501082476</v>
      </c>
    </row>
    <row r="53" spans="2:8" x14ac:dyDescent="0.35">
      <c r="B53">
        <v>61.75</v>
      </c>
      <c r="C53" s="14">
        <f t="shared" si="2"/>
        <v>2.8852142179085511</v>
      </c>
      <c r="D53" s="14">
        <f t="shared" si="3"/>
        <v>6.0773443384099535</v>
      </c>
      <c r="E53" s="14">
        <f t="shared" si="4"/>
        <v>194.54168123490254</v>
      </c>
      <c r="F53" s="14">
        <f t="shared" si="5"/>
        <v>193.18509405562037</v>
      </c>
    </row>
    <row r="54" spans="2:8" x14ac:dyDescent="0.35">
      <c r="B54">
        <v>62</v>
      </c>
      <c r="C54" s="14">
        <f t="shared" si="2"/>
        <v>2.8831382167044759</v>
      </c>
      <c r="D54" s="14">
        <f t="shared" si="3"/>
        <v>6.0590641740885252</v>
      </c>
      <c r="E54" s="14">
        <f t="shared" si="4"/>
        <v>194.56119664755326</v>
      </c>
      <c r="F54" s="14">
        <f t="shared" si="5"/>
        <v>193.20868997369791</v>
      </c>
    </row>
    <row r="55" spans="2:8" x14ac:dyDescent="0.35">
      <c r="B55">
        <v>62.25</v>
      </c>
      <c r="C55" s="14">
        <f t="shared" si="2"/>
        <v>2.8810703555504453</v>
      </c>
      <c r="D55" s="14">
        <f t="shared" si="3"/>
        <v>6.0409157880981876</v>
      </c>
      <c r="E55" s="14">
        <f t="shared" si="4"/>
        <v>194.58032389740453</v>
      </c>
      <c r="F55" s="14">
        <f t="shared" si="5"/>
        <v>193.23186831336542</v>
      </c>
    </row>
    <row r="56" spans="2:8" x14ac:dyDescent="0.35">
      <c r="B56">
        <v>62.5</v>
      </c>
      <c r="C56" s="14">
        <f t="shared" si="2"/>
        <v>2.8790105688186869</v>
      </c>
      <c r="D56" s="14">
        <f t="shared" si="3"/>
        <v>6.0228977050108066</v>
      </c>
      <c r="E56" s="14">
        <f t="shared" si="4"/>
        <v>194.59906811333022</v>
      </c>
      <c r="F56" s="14">
        <f t="shared" si="5"/>
        <v>193.2546345328424</v>
      </c>
    </row>
    <row r="57" spans="2:8" x14ac:dyDescent="0.35">
      <c r="B57">
        <v>62.75</v>
      </c>
      <c r="C57" s="14">
        <f t="shared" si="2"/>
        <v>2.8769587916722235</v>
      </c>
      <c r="D57" s="14">
        <f t="shared" si="3"/>
        <v>6.0050084717533441</v>
      </c>
      <c r="E57" s="14">
        <f t="shared" si="4"/>
        <v>194.61743434089368</v>
      </c>
      <c r="F57" s="14">
        <f t="shared" si="5"/>
        <v>193.27699400204776</v>
      </c>
    </row>
    <row r="58" spans="2:8" x14ac:dyDescent="0.35">
      <c r="B58">
        <v>63</v>
      </c>
      <c r="C58" s="14">
        <f t="shared" si="2"/>
        <v>2.874914960052223</v>
      </c>
      <c r="D58" s="14">
        <f t="shared" si="3"/>
        <v>5.9872466571814709</v>
      </c>
      <c r="E58" s="14">
        <f t="shared" si="4"/>
        <v>194.63542754399953</v>
      </c>
      <c r="F58" s="14">
        <f t="shared" si="5"/>
        <v>193.29895200434672</v>
      </c>
    </row>
    <row r="59" spans="2:8" x14ac:dyDescent="0.35">
      <c r="B59">
        <v>63.25</v>
      </c>
      <c r="C59" s="14">
        <f t="shared" si="2"/>
        <v>2.8728790106656037</v>
      </c>
      <c r="D59" s="14">
        <f t="shared" si="3"/>
        <v>5.9696108516630808</v>
      </c>
      <c r="E59" s="14">
        <f t="shared" si="4"/>
        <v>194.65305260650592</v>
      </c>
      <c r="F59" s="14">
        <f t="shared" si="5"/>
        <v>193.32051373825598</v>
      </c>
    </row>
    <row r="60" spans="2:8" x14ac:dyDescent="0.35">
      <c r="B60">
        <v>63.5</v>
      </c>
      <c r="C60" s="14">
        <f t="shared" si="2"/>
        <v>2.8708508809728808</v>
      </c>
      <c r="D60" s="14">
        <f t="shared" si="3"/>
        <v>5.9520996666712405</v>
      </c>
      <c r="E60" s="14">
        <f t="shared" si="4"/>
        <v>194.67031433379907</v>
      </c>
      <c r="F60" s="14">
        <f t="shared" si="5"/>
        <v>193.34168431910939</v>
      </c>
    </row>
    <row r="61" spans="2:8" x14ac:dyDescent="0.35">
      <c r="B61">
        <v>63.75</v>
      </c>
      <c r="C61" s="14">
        <f t="shared" si="2"/>
        <v>2.8688305091762549</v>
      </c>
      <c r="D61" s="14">
        <f t="shared" si="3"/>
        <v>5.93471173438643</v>
      </c>
      <c r="E61" s="14">
        <f t="shared" si="4"/>
        <v>194.68721745433137</v>
      </c>
      <c r="F61" s="14">
        <f t="shared" si="5"/>
        <v>193.36246878068445</v>
      </c>
    </row>
    <row r="62" spans="2:8" x14ac:dyDescent="0.35">
      <c r="B62">
        <v>64</v>
      </c>
      <c r="C62" s="14">
        <f t="shared" si="2"/>
        <v>2.866817834207934</v>
      </c>
      <c r="D62" s="14">
        <f t="shared" si="3"/>
        <v>5.9174457073078415</v>
      </c>
      <c r="E62" s="14">
        <f t="shared" si="4"/>
        <v>194.70376662112301</v>
      </c>
      <c r="F62" s="14">
        <f t="shared" si="5"/>
        <v>193.38287207679107</v>
      </c>
    </row>
    <row r="63" spans="2:8" x14ac:dyDescent="0.35">
      <c r="B63">
        <v>64.25</v>
      </c>
      <c r="C63" s="14">
        <f t="shared" si="2"/>
        <v>2.864812795718688</v>
      </c>
      <c r="D63" s="14">
        <f t="shared" si="3"/>
        <v>5.90030025787346</v>
      </c>
      <c r="E63" s="14">
        <f t="shared" si="4"/>
        <v>194.71996641322986</v>
      </c>
      <c r="F63" s="14">
        <f t="shared" si="5"/>
        <v>193.40289908282404</v>
      </c>
      <c r="H63" t="s">
        <v>64</v>
      </c>
    </row>
    <row r="64" spans="2:8" x14ac:dyDescent="0.35">
      <c r="B64">
        <v>64.5</v>
      </c>
      <c r="C64" s="14">
        <f t="shared" si="2"/>
        <v>2.8628153340666178</v>
      </c>
      <c r="D64" s="14">
        <f t="shared" si="3"/>
        <v>5.8832740780886184</v>
      </c>
      <c r="E64" s="14">
        <f t="shared" si="4"/>
        <v>194.73582133717645</v>
      </c>
      <c r="F64" s="14">
        <f t="shared" si="5"/>
        <v>193.42255459727895</v>
      </c>
      <c r="H64" s="22" t="s">
        <v>59</v>
      </c>
    </row>
    <row r="65" spans="2:8" x14ac:dyDescent="0.35">
      <c r="B65">
        <v>64.75</v>
      </c>
      <c r="C65" s="14">
        <f t="shared" si="2"/>
        <v>2.8608253903061551</v>
      </c>
      <c r="D65" s="14">
        <f t="shared" si="3"/>
        <v>5.8663658791629993</v>
      </c>
      <c r="E65" s="14">
        <f t="shared" si="4"/>
        <v>194.75133582835662</v>
      </c>
      <c r="F65" s="14">
        <f t="shared" si="5"/>
        <v>193.44184334323387</v>
      </c>
      <c r="H65" s="22" t="s">
        <v>58</v>
      </c>
    </row>
    <row r="66" spans="2:8" x14ac:dyDescent="0.35">
      <c r="B66">
        <v>65</v>
      </c>
      <c r="C66" s="14">
        <f t="shared" si="2"/>
        <v>2.8588429061772644</v>
      </c>
      <c r="D66" s="14">
        <f t="shared" si="3"/>
        <v>5.8495743911556612</v>
      </c>
      <c r="E66" s="14">
        <f t="shared" si="4"/>
        <v>194.76651425240175</v>
      </c>
      <c r="F66" s="14">
        <f t="shared" si="5"/>
        <v>193.46076996979701</v>
      </c>
    </row>
    <row r="67" spans="2:8" x14ac:dyDescent="0.35">
      <c r="B67">
        <v>65.25</v>
      </c>
      <c r="C67" s="14">
        <f t="shared" si="2"/>
        <v>2.8568678240948575</v>
      </c>
      <c r="D67" s="14">
        <f t="shared" si="3"/>
        <v>5.83289836262795</v>
      </c>
      <c r="E67" s="14">
        <f t="shared" si="4"/>
        <v>194.78136090651813</v>
      </c>
      <c r="F67" s="14">
        <f t="shared" si="5"/>
        <v>193.47933905352119</v>
      </c>
    </row>
    <row r="68" spans="2:8" x14ac:dyDescent="0.35">
      <c r="B68">
        <v>65.5</v>
      </c>
      <c r="C68" s="14">
        <f t="shared" si="2"/>
        <v>2.8549000871384149</v>
      </c>
      <c r="D68" s="14">
        <f t="shared" si="3"/>
        <v>5.8163365603042321</v>
      </c>
      <c r="E68" s="14">
        <f t="shared" si="4"/>
        <v>194.7958800207935</v>
      </c>
      <c r="F68" s="14">
        <f t="shared" si="5"/>
        <v>193.49755509978641</v>
      </c>
    </row>
    <row r="69" spans="2:8" x14ac:dyDescent="0.35">
      <c r="B69">
        <v>65.75</v>
      </c>
      <c r="C69" s="14">
        <f t="shared" si="2"/>
        <v>2.8529396390417969</v>
      </c>
      <c r="D69" s="14">
        <f t="shared" si="3"/>
        <v>5.7998877687399419</v>
      </c>
      <c r="E69" s="14">
        <f t="shared" si="4"/>
        <v>194.81007575947413</v>
      </c>
      <c r="F69" s="14">
        <f t="shared" si="5"/>
        <v>193.51542254415102</v>
      </c>
    </row>
    <row r="70" spans="2:8" x14ac:dyDescent="0.35">
      <c r="B70">
        <v>66</v>
      </c>
      <c r="C70" s="14">
        <f t="shared" si="2"/>
        <v>2.850986424183259</v>
      </c>
      <c r="D70" s="14">
        <f t="shared" si="3"/>
        <v>5.7835507899970633</v>
      </c>
      <c r="E70" s="14">
        <f t="shared" si="4"/>
        <v>194.82395222221334</v>
      </c>
      <c r="F70" s="14">
        <f t="shared" si="5"/>
        <v>193.53294575367252</v>
      </c>
    </row>
    <row r="71" spans="2:8" x14ac:dyDescent="0.35">
      <c r="B71">
        <v>66.25</v>
      </c>
      <c r="C71" s="14">
        <f t="shared" si="2"/>
        <v>2.8490403875756529</v>
      </c>
      <c r="D71" s="14">
        <f t="shared" si="3"/>
        <v>5.7673244433266806</v>
      </c>
      <c r="E71" s="14">
        <f t="shared" si="4"/>
        <v>194.83751344529148</v>
      </c>
      <c r="F71" s="14">
        <f t="shared" si="5"/>
        <v>193.55012902819843</v>
      </c>
    </row>
    <row r="72" spans="2:8" x14ac:dyDescent="0.35">
      <c r="B72">
        <v>66.5</v>
      </c>
      <c r="C72" s="14">
        <f t="shared" si="2"/>
        <v>2.8471014748568084</v>
      </c>
      <c r="D72" s="14">
        <f t="shared" si="3"/>
        <v>5.7512075648584373</v>
      </c>
      <c r="E72" s="14">
        <f t="shared" si="4"/>
        <v>194.85076340280906</v>
      </c>
      <c r="F72" s="14">
        <f t="shared" si="5"/>
        <v>193.56697660162891</v>
      </c>
    </row>
    <row r="73" spans="2:8" x14ac:dyDescent="0.35">
      <c r="B73">
        <v>66.75</v>
      </c>
      <c r="C73" s="14">
        <f t="shared" si="2"/>
        <v>2.8451696322801054</v>
      </c>
      <c r="D73" s="14">
        <f t="shared" si="3"/>
        <v>5.7351990072968055</v>
      </c>
      <c r="E73" s="14">
        <f t="shared" si="4"/>
        <v>194.86370600785276</v>
      </c>
      <c r="F73" s="14">
        <f t="shared" si="5"/>
        <v>193.58349264315041</v>
      </c>
    </row>
    <row r="74" spans="2:8" x14ac:dyDescent="0.35">
      <c r="B74">
        <v>67</v>
      </c>
      <c r="C74" s="14">
        <f t="shared" si="2"/>
        <v>2.8432448067052158</v>
      </c>
      <c r="D74" s="14">
        <f t="shared" si="3"/>
        <v>5.7192976396238553</v>
      </c>
      <c r="E74" s="14">
        <f t="shared" si="4"/>
        <v>194.87634511363586</v>
      </c>
      <c r="F74" s="14">
        <f t="shared" si="5"/>
        <v>193.59968125844242</v>
      </c>
    </row>
    <row r="75" spans="2:8" x14ac:dyDescent="0.35">
      <c r="B75">
        <v>67.25</v>
      </c>
      <c r="C75" s="14">
        <f t="shared" si="2"/>
        <v>2.8413269455890218</v>
      </c>
      <c r="D75" s="14">
        <f t="shared" si="3"/>
        <v>5.7035023468085218</v>
      </c>
      <c r="E75" s="14">
        <f t="shared" si="4"/>
        <v>194.8886845146132</v>
      </c>
      <c r="F75" s="14">
        <f t="shared" si="5"/>
        <v>193.6155464908575</v>
      </c>
    </row>
    <row r="76" spans="2:8" x14ac:dyDescent="0.35">
      <c r="B76">
        <v>67.5</v>
      </c>
      <c r="C76" s="14">
        <f t="shared" si="2"/>
        <v>2.8394159969767032</v>
      </c>
      <c r="D76" s="14">
        <f t="shared" si="3"/>
        <v>5.68781202952208</v>
      </c>
      <c r="E76" s="14">
        <f t="shared" si="4"/>
        <v>194.90072794757174</v>
      </c>
      <c r="F76" s="14">
        <f t="shared" si="5"/>
        <v>193.63109232257514</v>
      </c>
    </row>
    <row r="77" spans="2:8" x14ac:dyDescent="0.35">
      <c r="B77">
        <v>67.75</v>
      </c>
      <c r="C77" s="14">
        <f t="shared" si="2"/>
        <v>2.8375119094929926</v>
      </c>
      <c r="D77" s="14">
        <f t="shared" si="3"/>
        <v>5.6722256038597632</v>
      </c>
      <c r="E77" s="14">
        <f t="shared" si="4"/>
        <v>194.91247909269674</v>
      </c>
      <c r="F77" s="14">
        <f t="shared" si="5"/>
        <v>193.64632267573035</v>
      </c>
    </row>
    <row r="78" spans="2:8" x14ac:dyDescent="0.35">
      <c r="B78">
        <v>68</v>
      </c>
      <c r="C78" s="14">
        <f t="shared" ref="C78:C109" si="6">SQRT(2/($C$33-1)*((B78/$H$20)^((1-$C$33)/$C$33) - 1))</f>
        <v>2.8356146323335856</v>
      </c>
      <c r="D78" s="14">
        <f t="shared" ref="D78:D109" si="7">1/C78*(2/($C$33+1)*(1 + ($C$33-1)/2*C78^2))^(($C$33+1)/(2*$C$33-2))</f>
        <v>5.6567420010682046</v>
      </c>
      <c r="E78" s="14">
        <f t="shared" si="4"/>
        <v>194.92394157461504</v>
      </c>
      <c r="F78" s="14">
        <f t="shared" si="5"/>
        <v>193.66124141351742</v>
      </c>
    </row>
    <row r="79" spans="2:8" x14ac:dyDescent="0.35">
      <c r="B79">
        <v>68.25</v>
      </c>
      <c r="C79" s="14">
        <f t="shared" si="6"/>
        <v>2.8337241152567163</v>
      </c>
      <c r="D79" s="14">
        <f t="shared" si="7"/>
        <v>5.6413601672788731</v>
      </c>
      <c r="E79" s="14">
        <f t="shared" ref="E79:E110" si="8">$C$37*$C$39/9.81*($C$33*SQRT(2/($C$33-1)*(2/($C$33+1))^(($C$33+1)/($C$33-1))*(1 - (B79/$H$20)^(($C$33-1)/$C$33))) + D79/$H$20*(B79 - $C$28))</f>
        <v>194.93511896341494</v>
      </c>
      <c r="F79" s="14">
        <f t="shared" ref="F79:F110" si="9">$C$37*$C$39/9.81*($C$33*SQRT(2/($C$33-1)*(2/($C$33+1))^(($C$33+1)/($C$33-1))*(1 - (B79/$H$20)^(($C$33-1)/$C$33))) + D79/$H$20*(B79 - $C$27))</f>
        <v>193.6758523412696</v>
      </c>
    </row>
    <row r="80" spans="2:8" x14ac:dyDescent="0.35">
      <c r="B80">
        <v>68.5</v>
      </c>
      <c r="C80" s="14">
        <f t="shared" si="6"/>
        <v>2.8318403085748858</v>
      </c>
      <c r="D80" s="14">
        <f t="shared" si="7"/>
        <v>5.6260790632469453</v>
      </c>
      <c r="E80" s="14">
        <f t="shared" si="8"/>
        <v>194.94601477564456</v>
      </c>
      <c r="F80" s="14">
        <f t="shared" si="9"/>
        <v>193.69015920751568</v>
      </c>
    </row>
    <row r="81" spans="2:6" x14ac:dyDescent="0.35">
      <c r="B81">
        <v>68.75</v>
      </c>
      <c r="C81" s="14">
        <f t="shared" si="6"/>
        <v>2.8299631631467403</v>
      </c>
      <c r="D81" s="14">
        <f t="shared" si="7"/>
        <v>5.6108976640958721</v>
      </c>
      <c r="E81" s="14">
        <f t="shared" si="8"/>
        <v>194.95663247528819</v>
      </c>
      <c r="F81" s="14">
        <f t="shared" si="9"/>
        <v>193.70416570501325</v>
      </c>
    </row>
    <row r="82" spans="2:6" x14ac:dyDescent="0.35">
      <c r="B82">
        <v>69</v>
      </c>
      <c r="C82" s="14">
        <f t="shared" si="6"/>
        <v>2.828092630369099</v>
      </c>
      <c r="D82" s="14">
        <f t="shared" si="7"/>
        <v>5.5958149590672006</v>
      </c>
      <c r="E82" s="14">
        <f t="shared" si="8"/>
        <v>194.96697547472124</v>
      </c>
      <c r="F82" s="14">
        <f t="shared" si="9"/>
        <v>193.71787547175973</v>
      </c>
    </row>
    <row r="83" spans="2:6" x14ac:dyDescent="0.35">
      <c r="B83">
        <v>69.25</v>
      </c>
      <c r="C83" s="14">
        <f t="shared" si="6"/>
        <v>2.8262286621691253</v>
      </c>
      <c r="D83" s="14">
        <f t="shared" si="7"/>
        <v>5.5808299512756987</v>
      </c>
      <c r="E83" s="14">
        <f t="shared" si="8"/>
        <v>194.97704713564525</v>
      </c>
      <c r="F83" s="14">
        <f t="shared" si="9"/>
        <v>193.73129209198169</v>
      </c>
    </row>
    <row r="84" spans="2:6" x14ac:dyDescent="0.35">
      <c r="B84">
        <v>69.5</v>
      </c>
      <c r="C84" s="14">
        <f t="shared" si="6"/>
        <v>2.8243712109966421</v>
      </c>
      <c r="D84" s="14">
        <f t="shared" si="7"/>
        <v>5.565941657469561</v>
      </c>
      <c r="E84" s="14">
        <f t="shared" si="8"/>
        <v>194.98685077000243</v>
      </c>
      <c r="F84" s="14">
        <f t="shared" si="9"/>
        <v>193.7444190971031</v>
      </c>
    </row>
    <row r="85" spans="2:6" x14ac:dyDescent="0.35">
      <c r="B85">
        <v>69.75</v>
      </c>
      <c r="C85" s="14">
        <f t="shared" si="6"/>
        <v>2.8225202298165843</v>
      </c>
      <c r="D85" s="14">
        <f t="shared" si="7"/>
        <v>5.5511491077956512</v>
      </c>
      <c r="E85" s="14">
        <f t="shared" si="8"/>
        <v>194.99638964087052</v>
      </c>
      <c r="F85" s="14">
        <f t="shared" si="9"/>
        <v>193.75725996669286</v>
      </c>
    </row>
    <row r="86" spans="2:6" x14ac:dyDescent="0.35">
      <c r="B86">
        <v>70</v>
      </c>
      <c r="C86" s="14">
        <f t="shared" si="6"/>
        <v>2.8206756721015855</v>
      </c>
      <c r="D86" s="14">
        <f t="shared" si="7"/>
        <v>5.5364513455695583</v>
      </c>
      <c r="E86" s="14">
        <f t="shared" si="8"/>
        <v>195.00566696333902</v>
      </c>
      <c r="F86" s="14">
        <f t="shared" si="9"/>
        <v>193.76981812939189</v>
      </c>
    </row>
    <row r="87" spans="2:6" x14ac:dyDescent="0.35">
      <c r="B87">
        <v>70.25</v>
      </c>
      <c r="C87" s="14">
        <f t="shared" si="6"/>
        <v>2.8188374918247017</v>
      </c>
      <c r="D87" s="14">
        <f t="shared" si="7"/>
        <v>5.5218474270504387</v>
      </c>
      <c r="E87" s="14">
        <f t="shared" si="8"/>
        <v>195.01468590536643</v>
      </c>
      <c r="F87" s="14">
        <f t="shared" si="9"/>
        <v>193.78209696382083</v>
      </c>
    </row>
    <row r="88" spans="2:6" x14ac:dyDescent="0.35">
      <c r="B88">
        <v>70.5</v>
      </c>
      <c r="C88" s="14">
        <f t="shared" si="6"/>
        <v>2.8170056434522608</v>
      </c>
      <c r="D88" s="14">
        <f t="shared" si="7"/>
        <v>5.5073364212205025</v>
      </c>
      <c r="E88" s="14">
        <f t="shared" si="8"/>
        <v>195.02344958861943</v>
      </c>
      <c r="F88" s="14">
        <f t="shared" si="9"/>
        <v>193.79409979946854</v>
      </c>
    </row>
    <row r="89" spans="2:6" x14ac:dyDescent="0.35">
      <c r="B89">
        <v>70.75</v>
      </c>
      <c r="C89" s="14">
        <f t="shared" si="6"/>
        <v>2.8151800819368398</v>
      </c>
      <c r="D89" s="14">
        <f t="shared" si="7"/>
        <v>5.4929174095689826</v>
      </c>
      <c r="E89" s="14">
        <f t="shared" si="8"/>
        <v>195.03196108929433</v>
      </c>
      <c r="F89" s="14">
        <f t="shared" si="9"/>
        <v>193.80582991756171</v>
      </c>
    </row>
    <row r="90" spans="2:6" x14ac:dyDescent="0.35">
      <c r="B90">
        <v>71</v>
      </c>
      <c r="C90" s="14">
        <f t="shared" si="6"/>
        <v>2.8133607627103703</v>
      </c>
      <c r="D90" s="14">
        <f t="shared" si="7"/>
        <v>5.4785894858805735</v>
      </c>
      <c r="E90" s="14">
        <f t="shared" si="8"/>
        <v>195.04022343892149</v>
      </c>
      <c r="F90" s="14">
        <f t="shared" si="9"/>
        <v>193.81729055191641</v>
      </c>
    </row>
    <row r="91" spans="2:6" x14ac:dyDescent="0.35">
      <c r="B91">
        <v>71.25</v>
      </c>
      <c r="C91" s="14">
        <f t="shared" si="6"/>
        <v>2.811547641677361</v>
      </c>
      <c r="D91" s="14">
        <f t="shared" si="7"/>
        <v>5.4643517560281394</v>
      </c>
      <c r="E91" s="14">
        <f t="shared" si="8"/>
        <v>195.04823962515255</v>
      </c>
      <c r="F91" s="14">
        <f t="shared" si="9"/>
        <v>193.82848488977166</v>
      </c>
    </row>
    <row r="92" spans="2:6" x14ac:dyDescent="0.35">
      <c r="B92">
        <v>71.5</v>
      </c>
      <c r="C92" s="14">
        <f t="shared" si="6"/>
        <v>2.8097406752082397</v>
      </c>
      <c r="D92" s="14">
        <f t="shared" si="7"/>
        <v>5.4502033377696417</v>
      </c>
      <c r="E92" s="14">
        <f t="shared" si="8"/>
        <v>195.0560125925312</v>
      </c>
      <c r="F92" s="14">
        <f t="shared" si="9"/>
        <v>193.83941607260556</v>
      </c>
    </row>
    <row r="93" spans="2:6" x14ac:dyDescent="0.35">
      <c r="B93">
        <v>71.75</v>
      </c>
      <c r="C93" s="14">
        <f t="shared" si="6"/>
        <v>2.8079398201328183</v>
      </c>
      <c r="D93" s="14">
        <f t="shared" si="7"/>
        <v>5.4361433605492095</v>
      </c>
      <c r="E93" s="14">
        <f t="shared" si="8"/>
        <v>195.06354524324851</v>
      </c>
      <c r="F93" s="14">
        <f t="shared" si="9"/>
        <v>193.85008719693508</v>
      </c>
    </row>
    <row r="94" spans="2:6" x14ac:dyDescent="0.35">
      <c r="B94">
        <v>72</v>
      </c>
      <c r="C94" s="14">
        <f t="shared" si="6"/>
        <v>2.8061450337338636</v>
      </c>
      <c r="D94" s="14">
        <f t="shared" si="7"/>
        <v>5.4221709653021488</v>
      </c>
      <c r="E94" s="14">
        <f t="shared" si="8"/>
        <v>195.0708404378816</v>
      </c>
      <c r="F94" s="14">
        <f t="shared" si="9"/>
        <v>193.86050131509799</v>
      </c>
    </row>
    <row r="95" spans="2:6" x14ac:dyDescent="0.35">
      <c r="B95">
        <v>72.25</v>
      </c>
      <c r="C95" s="14">
        <f t="shared" si="6"/>
        <v>2.8043562737407846</v>
      </c>
      <c r="D95" s="14">
        <f t="shared" si="7"/>
        <v>5.4082853042639378</v>
      </c>
      <c r="E95" s="14">
        <f t="shared" si="8"/>
        <v>195.07790099611802</v>
      </c>
      <c r="F95" s="14">
        <f t="shared" si="9"/>
        <v>193.87066143602024</v>
      </c>
    </row>
    <row r="96" spans="2:6" x14ac:dyDescent="0.35">
      <c r="B96">
        <v>72.5</v>
      </c>
      <c r="C96" s="14">
        <f t="shared" si="6"/>
        <v>2.8025734983234321</v>
      </c>
      <c r="D96" s="14">
        <f t="shared" si="7"/>
        <v>5.394485540783025</v>
      </c>
      <c r="E96" s="14">
        <f t="shared" si="8"/>
        <v>195.08472969746455</v>
      </c>
      <c r="F96" s="14">
        <f t="shared" si="9"/>
        <v>193.88057052596631</v>
      </c>
    </row>
    <row r="97" spans="2:6" x14ac:dyDescent="0.35">
      <c r="B97">
        <v>72.75</v>
      </c>
      <c r="C97" s="14">
        <f t="shared" si="6"/>
        <v>2.800796666085994</v>
      </c>
      <c r="D97" s="14">
        <f t="shared" si="7"/>
        <v>5.3807708491373232</v>
      </c>
      <c r="E97" s="14">
        <f t="shared" si="8"/>
        <v>195.09132928194154</v>
      </c>
      <c r="F97" s="14">
        <f t="shared" si="9"/>
        <v>193.89023150927449</v>
      </c>
    </row>
    <row r="98" spans="2:6" x14ac:dyDescent="0.35">
      <c r="B98">
        <v>73</v>
      </c>
      <c r="C98" s="14">
        <f t="shared" si="6"/>
        <v>2.7990257360610151</v>
      </c>
      <c r="D98" s="14">
        <f t="shared" si="7"/>
        <v>5.3671404143544441</v>
      </c>
      <c r="E98" s="14">
        <f t="shared" si="8"/>
        <v>195.09770245076351</v>
      </c>
      <c r="F98" s="14">
        <f t="shared" si="9"/>
        <v>193.89964726907778</v>
      </c>
    </row>
    <row r="99" spans="2:6" x14ac:dyDescent="0.35">
      <c r="B99">
        <v>73.25</v>
      </c>
      <c r="C99" s="14">
        <f t="shared" si="6"/>
        <v>2.7972606677034997</v>
      </c>
      <c r="D99" s="14">
        <f t="shared" si="7"/>
        <v>5.3535934320353951</v>
      </c>
      <c r="E99" s="14">
        <f t="shared" si="8"/>
        <v>195.1038518670052</v>
      </c>
      <c r="F99" s="14">
        <f t="shared" si="9"/>
        <v>193.90882064800917</v>
      </c>
    </row>
    <row r="100" spans="2:6" x14ac:dyDescent="0.35">
      <c r="B100">
        <v>73.5</v>
      </c>
      <c r="C100" s="14">
        <f t="shared" si="6"/>
        <v>2.7955014208851252</v>
      </c>
      <c r="D100" s="14">
        <f t="shared" si="7"/>
        <v>5.3401291081817952</v>
      </c>
      <c r="E100" s="14">
        <f t="shared" si="8"/>
        <v>195.10978015625446</v>
      </c>
      <c r="F100" s="14">
        <f t="shared" si="9"/>
        <v>193.91775444889322</v>
      </c>
    </row>
    <row r="101" spans="2:6" x14ac:dyDescent="0.35">
      <c r="B101">
        <v>73.75</v>
      </c>
      <c r="C101" s="14">
        <f t="shared" si="6"/>
        <v>2.7937479558885592</v>
      </c>
      <c r="D101" s="14">
        <f t="shared" si="7"/>
        <v>5.3267466590265533</v>
      </c>
      <c r="E101" s="14">
        <f t="shared" si="8"/>
        <v>195.11548990725194</v>
      </c>
      <c r="F101" s="14">
        <f t="shared" si="9"/>
        <v>193.92645143542327</v>
      </c>
    </row>
    <row r="102" spans="2:6" x14ac:dyDescent="0.35">
      <c r="B102">
        <v>74</v>
      </c>
      <c r="C102" s="14">
        <f t="shared" si="6"/>
        <v>2.7920002334018585</v>
      </c>
      <c r="D102" s="14">
        <f t="shared" si="7"/>
        <v>5.3134453108677517</v>
      </c>
      <c r="E102" s="14">
        <f t="shared" si="8"/>
        <v>195.12098367251747</v>
      </c>
      <c r="F102" s="14">
        <f t="shared" si="9"/>
        <v>193.93491433282526</v>
      </c>
    </row>
    <row r="103" spans="2:6" x14ac:dyDescent="0.35">
      <c r="B103">
        <v>74.25</v>
      </c>
      <c r="C103" s="14">
        <f t="shared" si="6"/>
        <v>2.7902582145129777</v>
      </c>
      <c r="D103" s="14">
        <f t="shared" si="7"/>
        <v>5.3002242999058726</v>
      </c>
      <c r="E103" s="14">
        <f t="shared" si="8"/>
        <v>195.12626396896459</v>
      </c>
      <c r="F103" s="14">
        <f t="shared" si="9"/>
        <v>193.94314582850831</v>
      </c>
    </row>
    <row r="104" spans="2:6" x14ac:dyDescent="0.35">
      <c r="B104">
        <v>74.5</v>
      </c>
      <c r="C104" s="14">
        <f t="shared" si="6"/>
        <v>2.7885218607043618</v>
      </c>
      <c r="D104" s="14">
        <f t="shared" si="7"/>
        <v>5.2870828720841425</v>
      </c>
      <c r="E104" s="14">
        <f t="shared" si="8"/>
        <v>195.13133327850161</v>
      </c>
      <c r="F104" s="14">
        <f t="shared" si="9"/>
        <v>193.95114857270158</v>
      </c>
    </row>
    <row r="105" spans="2:6" x14ac:dyDescent="0.35">
      <c r="B105">
        <v>74.75</v>
      </c>
      <c r="C105" s="14">
        <f t="shared" si="6"/>
        <v>2.7867911338476348</v>
      </c>
      <c r="D105" s="14">
        <f t="shared" si="7"/>
        <v>5.274020282932022</v>
      </c>
      <c r="E105" s="14">
        <f t="shared" si="8"/>
        <v>195.13619404862192</v>
      </c>
      <c r="F105" s="14">
        <f t="shared" si="9"/>
        <v>193.95892517907953</v>
      </c>
    </row>
    <row r="106" spans="2:6" x14ac:dyDescent="0.35">
      <c r="B106">
        <v>75</v>
      </c>
      <c r="C106" s="14">
        <f t="shared" si="6"/>
        <v>2.785065996198373</v>
      </c>
      <c r="D106" s="14">
        <f t="shared" si="7"/>
        <v>5.2610357974116848</v>
      </c>
      <c r="E106" s="14">
        <f t="shared" si="8"/>
        <v>195.14084869298148</v>
      </c>
      <c r="F106" s="14">
        <f t="shared" si="9"/>
        <v>193.96647822537349</v>
      </c>
    </row>
    <row r="107" spans="2:6" x14ac:dyDescent="0.35">
      <c r="B107">
        <v>75.25</v>
      </c>
      <c r="C107" s="14">
        <f t="shared" si="6"/>
        <v>2.7833464103909673</v>
      </c>
      <c r="D107" s="14">
        <f t="shared" si="7"/>
        <v>5.2481286897674657</v>
      </c>
      <c r="E107" s="14">
        <f t="shared" si="8"/>
        <v>195.14529959196545</v>
      </c>
      <c r="F107" s="14">
        <f t="shared" si="9"/>
        <v>193.97381025397209</v>
      </c>
    </row>
    <row r="108" spans="2:6" x14ac:dyDescent="0.35">
      <c r="B108">
        <v>75.5</v>
      </c>
      <c r="C108" s="14">
        <f t="shared" si="6"/>
        <v>2.7816323394335729</v>
      </c>
      <c r="D108" s="14">
        <f t="shared" si="7"/>
        <v>5.2352982433782023</v>
      </c>
      <c r="E108" s="14">
        <f t="shared" si="8"/>
        <v>195.14954909324328</v>
      </c>
      <c r="F108" s="14">
        <f t="shared" si="9"/>
        <v>193.98092377250927</v>
      </c>
    </row>
    <row r="109" spans="2:6" x14ac:dyDescent="0.35">
      <c r="B109">
        <v>75.75</v>
      </c>
      <c r="C109" s="14">
        <f t="shared" si="6"/>
        <v>2.7799237467031426</v>
      </c>
      <c r="D109" s="14">
        <f t="shared" si="7"/>
        <v>5.2225437506124477</v>
      </c>
      <c r="E109" s="14">
        <f t="shared" si="8"/>
        <v>195.15359951231315</v>
      </c>
      <c r="F109" s="14">
        <f t="shared" si="9"/>
        <v>193.98782125444092</v>
      </c>
    </row>
    <row r="110" spans="2:6" x14ac:dyDescent="0.35">
      <c r="B110">
        <v>76</v>
      </c>
      <c r="C110" s="14">
        <f t="shared" ref="C110:C141" si="10">SQRT(2/($C$33-1)*((B110/$H$20)^((1-$C$33)/$C$33) - 1))</f>
        <v>2.7782205959405384</v>
      </c>
      <c r="D110" s="14">
        <f t="shared" ref="D110:D141" si="11">1/C110*(2/($C$33+1)*(1 + ($C$33-1)/2*C110^2))^(($C$33+1)/(2*$C$33-2))</f>
        <v>5.2098645126863836</v>
      </c>
      <c r="E110" s="14">
        <f t="shared" si="8"/>
        <v>195.15745313303518</v>
      </c>
      <c r="F110" s="14">
        <f t="shared" si="9"/>
        <v>193.99450513961006</v>
      </c>
    </row>
    <row r="111" spans="2:6" x14ac:dyDescent="0.35">
      <c r="B111">
        <v>76.25</v>
      </c>
      <c r="C111" s="14">
        <f t="shared" si="10"/>
        <v>2.7765228512457298</v>
      </c>
      <c r="D111" s="14">
        <f t="shared" si="11"/>
        <v>5.1972598395244871</v>
      </c>
      <c r="E111" s="14">
        <f t="shared" ref="E111:E142" si="12">$C$37*$C$39/9.81*($C$33*SQRT(2/($C$33-1)*(2/($C$33+1))^(($C$33+1)/($C$33-1))*(1 - (B111/$H$20)^(($C$33-1)/$C$33))) + D111/$H$20*(B111 - $C$28))</f>
        <v>195.16111220815489</v>
      </c>
      <c r="F111" s="14">
        <f t="shared" ref="F111:F142" si="13">$C$37*$C$39/9.81*($C$33*SQRT(2/($C$33-1)*(2/($C$33+1))^(($C$33+1)/($C$33-1))*(1 - (B111/$H$20)^(($C$33-1)/$C$33))) + D111/$H$20*(B111 - $C$27))</f>
        <v>194.00097783480101</v>
      </c>
    </row>
    <row r="112" spans="2:6" x14ac:dyDescent="0.35">
      <c r="B112">
        <v>76.5</v>
      </c>
      <c r="C112" s="14">
        <f t="shared" si="10"/>
        <v>2.7748304770730647</v>
      </c>
      <c r="D112" s="14">
        <f t="shared" si="11"/>
        <v>5.184729049622808</v>
      </c>
      <c r="E112" s="14">
        <f t="shared" si="12"/>
        <v>195.16457895981563</v>
      </c>
      <c r="F112" s="14">
        <f t="shared" si="13"/>
        <v>194.00724171428277</v>
      </c>
    </row>
    <row r="113" spans="2:6" x14ac:dyDescent="0.35">
      <c r="B113">
        <v>76.75</v>
      </c>
      <c r="C113" s="14">
        <f t="shared" si="10"/>
        <v>2.7731434382266231</v>
      </c>
      <c r="D113" s="14">
        <f t="shared" si="11"/>
        <v>5.1722714699148495</v>
      </c>
      <c r="E113" s="14">
        <f t="shared" si="12"/>
        <v>195.16785558006154</v>
      </c>
      <c r="F113" s="14">
        <f t="shared" si="13"/>
        <v>194.01329912034163</v>
      </c>
    </row>
    <row r="114" spans="2:6" x14ac:dyDescent="0.35">
      <c r="B114">
        <v>77</v>
      </c>
      <c r="C114" s="14">
        <f t="shared" si="10"/>
        <v>2.7714616998556441</v>
      </c>
      <c r="D114" s="14">
        <f t="shared" si="11"/>
        <v>5.1598864356399892</v>
      </c>
      <c r="E114" s="14">
        <f t="shared" si="12"/>
        <v>195.17094423133085</v>
      </c>
      <c r="F114" s="14">
        <f t="shared" si="13"/>
        <v>194.01915236380395</v>
      </c>
    </row>
    <row r="115" spans="2:6" x14ac:dyDescent="0.35">
      <c r="B115">
        <v>77.25</v>
      </c>
      <c r="C115" s="14">
        <f t="shared" si="10"/>
        <v>2.769785227450027</v>
      </c>
      <c r="D115" s="14">
        <f t="shared" si="11"/>
        <v>5.1475732902143356</v>
      </c>
      <c r="E115" s="14">
        <f t="shared" si="12"/>
        <v>195.17384704693896</v>
      </c>
      <c r="F115" s="14">
        <f t="shared" si="13"/>
        <v>194.02480372454804</v>
      </c>
    </row>
    <row r="116" spans="2:6" x14ac:dyDescent="0.35">
      <c r="B116">
        <v>77.5</v>
      </c>
      <c r="C116" s="14">
        <f t="shared" si="10"/>
        <v>2.7681139868359099</v>
      </c>
      <c r="D116" s="14">
        <f t="shared" si="11"/>
        <v>5.1353313851040561</v>
      </c>
      <c r="E116" s="14">
        <f t="shared" si="12"/>
        <v>195.17656613155287</v>
      </c>
      <c r="F116" s="14">
        <f t="shared" si="13"/>
        <v>194.03025545200691</v>
      </c>
    </row>
    <row r="117" spans="2:6" x14ac:dyDescent="0.35">
      <c r="B117">
        <v>77.75</v>
      </c>
      <c r="C117" s="14">
        <f t="shared" si="10"/>
        <v>2.7664479441713086</v>
      </c>
      <c r="D117" s="14">
        <f t="shared" si="11"/>
        <v>5.1231600797009875</v>
      </c>
      <c r="E117" s="14">
        <f t="shared" si="12"/>
        <v>195.17910356165601</v>
      </c>
      <c r="F117" s="14">
        <f t="shared" si="13"/>
        <v>194.03550976566072</v>
      </c>
    </row>
    <row r="118" spans="2:6" x14ac:dyDescent="0.35">
      <c r="B118">
        <v>78</v>
      </c>
      <c r="C118" s="14">
        <f t="shared" si="10"/>
        <v>2.7647870659418414</v>
      </c>
      <c r="D118" s="14">
        <f t="shared" si="11"/>
        <v>5.1110587412006723</v>
      </c>
      <c r="E118" s="14">
        <f t="shared" si="12"/>
        <v>195.18146138600457</v>
      </c>
      <c r="F118" s="14">
        <f t="shared" si="13"/>
        <v>194.04056885552063</v>
      </c>
    </row>
    <row r="119" spans="2:6" x14ac:dyDescent="0.35">
      <c r="B119">
        <v>78.25</v>
      </c>
      <c r="C119" s="112">
        <f t="shared" si="10"/>
        <v>2.7631313189565119</v>
      </c>
      <c r="D119" s="14">
        <f t="shared" si="11"/>
        <v>5.0990267444825648</v>
      </c>
      <c r="E119" s="14">
        <f t="shared" si="12"/>
        <v>195.18364162607469</v>
      </c>
      <c r="F119" s="14">
        <f t="shared" si="13"/>
        <v>194.04543488260228</v>
      </c>
    </row>
    <row r="120" spans="2:6" x14ac:dyDescent="0.35">
      <c r="B120">
        <v>78.5</v>
      </c>
      <c r="C120" s="14">
        <f t="shared" si="10"/>
        <v>2.7614806703435595</v>
      </c>
      <c r="D120" s="14">
        <f t="shared" si="11"/>
        <v>5.0870634719924759</v>
      </c>
      <c r="E120" s="14">
        <f t="shared" si="12"/>
        <v>195.18564627650119</v>
      </c>
      <c r="F120" s="14">
        <f t="shared" si="13"/>
        <v>194.05010997939135</v>
      </c>
    </row>
    <row r="121" spans="2:6" x14ac:dyDescent="0.35">
      <c r="B121">
        <v>78.75</v>
      </c>
      <c r="C121" s="14">
        <f t="shared" si="10"/>
        <v>2.7598350875463824</v>
      </c>
      <c r="D121" s="14">
        <f t="shared" si="11"/>
        <v>5.0751683136272279</v>
      </c>
      <c r="E121" s="14">
        <f t="shared" si="12"/>
        <v>195.18747730550839</v>
      </c>
      <c r="F121" s="14">
        <f>$C$37*$C$39/9.81*($C$33*SQRT(2/($C$33-1)*(2/($C$33+1))^(($C$33+1)/($C$33-1))*(1 - (B121/$H$20)^(($C$33-1)/$C$33))) + D121/$H$20*(B121 - $C$27))</f>
        <v>194.05459625029945</v>
      </c>
    </row>
    <row r="122" spans="2:6" x14ac:dyDescent="0.35">
      <c r="B122">
        <v>79</v>
      </c>
      <c r="C122" s="14">
        <f t="shared" si="10"/>
        <v>2.7581945383195197</v>
      </c>
      <c r="D122" s="14">
        <f t="shared" si="11"/>
        <v>5.0633406666213459</v>
      </c>
      <c r="E122" s="14">
        <f t="shared" si="12"/>
        <v>195.18913665533202</v>
      </c>
      <c r="F122" s="14">
        <f t="shared" si="13"/>
        <v>194.05889577211201</v>
      </c>
    </row>
    <row r="123" spans="2:6" x14ac:dyDescent="0.35">
      <c r="B123">
        <v>79.25</v>
      </c>
      <c r="C123" s="14">
        <f t="shared" si="10"/>
        <v>2.756558990724701</v>
      </c>
      <c r="D123" s="14">
        <f t="shared" si="11"/>
        <v>5.0515799354359352</v>
      </c>
      <c r="E123" s="14">
        <f t="shared" si="12"/>
        <v>195.1906262426337</v>
      </c>
      <c r="F123" s="14">
        <f t="shared" si="13"/>
        <v>194.063010594427</v>
      </c>
    </row>
    <row r="124" spans="2:6" x14ac:dyDescent="0.35">
      <c r="B124">
        <v>79.5</v>
      </c>
      <c r="C124" s="14">
        <f t="shared" si="10"/>
        <v>2.7549284131269549</v>
      </c>
      <c r="D124" s="14">
        <f t="shared" si="11"/>
        <v>5.0398855316494577</v>
      </c>
      <c r="E124" s="14">
        <f t="shared" si="12"/>
        <v>195.19194795890772</v>
      </c>
      <c r="F124" s="14">
        <f t="shared" si="13"/>
        <v>194.0669427400864</v>
      </c>
    </row>
    <row r="125" spans="2:6" x14ac:dyDescent="0.35">
      <c r="B125">
        <v>79.75</v>
      </c>
      <c r="C125" s="14">
        <f t="shared" si="10"/>
        <v>2.7533027741907858</v>
      </c>
      <c r="D125" s="14">
        <f t="shared" si="11"/>
        <v>5.0282568738506184</v>
      </c>
      <c r="E125" s="14">
        <f t="shared" si="12"/>
        <v>195.1931036708794</v>
      </c>
      <c r="F125" s="14">
        <f t="shared" si="13"/>
        <v>194.07069420559841</v>
      </c>
    </row>
    <row r="126" spans="2:6" x14ac:dyDescent="0.35">
      <c r="B126">
        <v>80</v>
      </c>
      <c r="C126" s="14">
        <f t="shared" si="10"/>
        <v>2.7516820428763964</v>
      </c>
      <c r="D126" s="14">
        <f t="shared" si="11"/>
        <v>5.0166933875330821</v>
      </c>
      <c r="E126" s="14">
        <f t="shared" si="12"/>
        <v>195.19409522089697</v>
      </c>
      <c r="F126" s="14">
        <f t="shared" si="13"/>
        <v>194.07426696155278</v>
      </c>
    </row>
    <row r="127" spans="2:6" x14ac:dyDescent="0.35">
      <c r="B127">
        <v>80.25</v>
      </c>
      <c r="C127" s="14">
        <f t="shared" si="10"/>
        <v>2.7500661884359925</v>
      </c>
      <c r="D127" s="14">
        <f t="shared" si="11"/>
        <v>5.0051945049922528</v>
      </c>
      <c r="E127" s="14">
        <f t="shared" si="12"/>
        <v>195.19492442731536</v>
      </c>
      <c r="F127" s="14">
        <f t="shared" si="13"/>
        <v>194.07766295302764</v>
      </c>
    </row>
    <row r="128" spans="2:6" x14ac:dyDescent="0.35">
      <c r="B128">
        <v>80.5</v>
      </c>
      <c r="C128" s="14">
        <f t="shared" si="10"/>
        <v>2.7484551804101187</v>
      </c>
      <c r="D128" s="14">
        <f t="shared" si="11"/>
        <v>4.9937596652236715</v>
      </c>
      <c r="E128" s="14">
        <f t="shared" si="12"/>
        <v>195.19559308487331</v>
      </c>
      <c r="F128" s="14">
        <f t="shared" si="13"/>
        <v>194.08088409998939</v>
      </c>
    </row>
    <row r="129" spans="2:7" x14ac:dyDescent="0.35">
      <c r="B129">
        <v>80.75</v>
      </c>
      <c r="C129" s="14">
        <f t="shared" si="10"/>
        <v>2.7468489886240723</v>
      </c>
      <c r="D129" s="14">
        <f t="shared" si="11"/>
        <v>4.9823883138235114</v>
      </c>
      <c r="E129" s="14">
        <f t="shared" si="12"/>
        <v>195.19610296506309</v>
      </c>
      <c r="F129" s="14">
        <f t="shared" si="13"/>
        <v>194.08393229768461</v>
      </c>
    </row>
    <row r="130" spans="2:7" x14ac:dyDescent="0.35">
      <c r="B130">
        <v>81</v>
      </c>
      <c r="C130" s="14">
        <f t="shared" si="10"/>
        <v>2.7452475831843648</v>
      </c>
      <c r="D130" s="14">
        <f t="shared" si="11"/>
        <v>4.9710799028906401</v>
      </c>
      <c r="E130" s="14">
        <f t="shared" si="12"/>
        <v>195.19645581649394</v>
      </c>
      <c r="F130" s="14">
        <f t="shared" si="13"/>
        <v>194.08680941702514</v>
      </c>
    </row>
    <row r="131" spans="2:7" x14ac:dyDescent="0.35">
      <c r="B131">
        <v>81.25</v>
      </c>
      <c r="C131" s="14">
        <f t="shared" si="10"/>
        <v>2.7436509344752338</v>
      </c>
      <c r="D131" s="14">
        <f t="shared" si="11"/>
        <v>4.9598338909305717</v>
      </c>
      <c r="E131" s="14">
        <f t="shared" si="12"/>
        <v>195.19665336524812</v>
      </c>
      <c r="F131" s="14">
        <f t="shared" si="13"/>
        <v>194.08951730496591</v>
      </c>
    </row>
    <row r="132" spans="2:7" x14ac:dyDescent="0.35">
      <c r="B132" s="19">
        <v>81.5</v>
      </c>
      <c r="C132" s="20">
        <f t="shared" si="10"/>
        <v>2.7420590131552185</v>
      </c>
      <c r="D132" s="20">
        <f t="shared" si="11"/>
        <v>4.9486497427610443</v>
      </c>
      <c r="E132" s="20">
        <f t="shared" si="12"/>
        <v>195.19669731523078</v>
      </c>
      <c r="F132" s="20">
        <f>$C$37*$C$39/9.81*($C$33*SQRT(2/($C$33-1)*(2/($C$33+1))^(($C$33+1)/($C$33-1))*(1 - (B132/$H$20)^(($C$33-1)/$C$33))) + D132/$H$20*(B132 - $C$27))</f>
        <v>194.09205778487564</v>
      </c>
      <c r="G132" s="11" t="s">
        <v>49</v>
      </c>
    </row>
    <row r="133" spans="2:7" x14ac:dyDescent="0.35">
      <c r="B133">
        <v>81.75</v>
      </c>
      <c r="C133" s="14">
        <f t="shared" si="10"/>
        <v>2.7404717901537796</v>
      </c>
      <c r="D133" s="14">
        <f t="shared" si="11"/>
        <v>4.9375269294193114</v>
      </c>
      <c r="E133" s="14">
        <f t="shared" si="12"/>
        <v>195.1965893485137</v>
      </c>
      <c r="F133" s="14">
        <f t="shared" si="13"/>
        <v>194.09443265690138</v>
      </c>
    </row>
    <row r="134" spans="2:7" x14ac:dyDescent="0.35">
      <c r="B134">
        <v>82</v>
      </c>
      <c r="C134" s="14">
        <f t="shared" si="10"/>
        <v>2.7388892366679745</v>
      </c>
      <c r="D134" s="14">
        <f t="shared" si="11"/>
        <v>4.9264649280710753</v>
      </c>
      <c r="E134" s="14">
        <f t="shared" si="12"/>
        <v>195.19633112567189</v>
      </c>
      <c r="F134" s="14">
        <f t="shared" si="13"/>
        <v>194.09664369832549</v>
      </c>
    </row>
    <row r="135" spans="2:7" x14ac:dyDescent="0.35">
      <c r="B135">
        <v>82.25</v>
      </c>
      <c r="C135" s="14">
        <f t="shared" si="10"/>
        <v>2.7373113241591862</v>
      </c>
      <c r="D135" s="14">
        <f t="shared" si="11"/>
        <v>4.9154632219210219</v>
      </c>
      <c r="E135" s="14">
        <f t="shared" si="12"/>
        <v>195.19592428611506</v>
      </c>
      <c r="F135" s="14">
        <f t="shared" si="13"/>
        <v>194.09869266391675</v>
      </c>
    </row>
    <row r="136" spans="2:7" x14ac:dyDescent="0.35">
      <c r="B136">
        <v>82.5</v>
      </c>
      <c r="C136" s="14">
        <f t="shared" si="10"/>
        <v>2.7357380243498932</v>
      </c>
      <c r="D136" s="14">
        <f t="shared" si="11"/>
        <v>4.9045213001249035</v>
      </c>
      <c r="E136" s="14">
        <f t="shared" si="12"/>
        <v>195.19537044841221</v>
      </c>
      <c r="F136" s="14">
        <f t="shared" si="13"/>
        <v>194.1005812862752</v>
      </c>
    </row>
    <row r="137" spans="2:7" x14ac:dyDescent="0.35">
      <c r="B137">
        <v>82.75</v>
      </c>
      <c r="C137" s="14">
        <f t="shared" si="10"/>
        <v>2.7341693092204999</v>
      </c>
      <c r="D137" s="14">
        <f t="shared" si="11"/>
        <v>4.8936386577032289</v>
      </c>
      <c r="E137" s="14">
        <f t="shared" si="12"/>
        <v>195.19467121061089</v>
      </c>
      <c r="F137" s="14">
        <f t="shared" si="13"/>
        <v>194.10231127617007</v>
      </c>
    </row>
    <row r="138" spans="2:7" x14ac:dyDescent="0.35">
      <c r="B138">
        <v>83</v>
      </c>
      <c r="C138" s="14">
        <f t="shared" si="10"/>
        <v>2.7326051510062039</v>
      </c>
      <c r="D138" s="14">
        <f t="shared" si="11"/>
        <v>4.882814795456361</v>
      </c>
      <c r="E138" s="14">
        <f t="shared" si="12"/>
        <v>195.19382815055036</v>
      </c>
      <c r="F138" s="14">
        <f t="shared" si="13"/>
        <v>194.10388432287209</v>
      </c>
    </row>
    <row r="139" spans="2:7" x14ac:dyDescent="0.35">
      <c r="B139">
        <v>83.25</v>
      </c>
      <c r="C139" s="14">
        <f t="shared" si="10"/>
        <v>2.7310455221939218</v>
      </c>
      <c r="D139" s="14">
        <f t="shared" si="11"/>
        <v>4.8720492198812213</v>
      </c>
      <c r="E139" s="14">
        <f t="shared" si="12"/>
        <v>195.19284282616943</v>
      </c>
      <c r="F139" s="14">
        <f t="shared" si="13"/>
        <v>194.10530209448004</v>
      </c>
    </row>
    <row r="140" spans="2:7" x14ac:dyDescent="0.35">
      <c r="B140">
        <v>83.5</v>
      </c>
      <c r="C140" s="14">
        <f t="shared" si="10"/>
        <v>2.7294903955192509</v>
      </c>
      <c r="D140" s="14">
        <f t="shared" si="11"/>
        <v>4.8613414430893256</v>
      </c>
      <c r="E140" s="14">
        <f t="shared" si="12"/>
        <v>195.19171677580829</v>
      </c>
      <c r="F140" s="14">
        <f t="shared" si="13"/>
        <v>194.10656623824082</v>
      </c>
    </row>
    <row r="141" spans="2:7" x14ac:dyDescent="0.35">
      <c r="B141">
        <v>83.75</v>
      </c>
      <c r="C141" s="14">
        <f t="shared" si="10"/>
        <v>2.7279397439634816</v>
      </c>
      <c r="D141" s="14">
        <f t="shared" si="11"/>
        <v>4.8506909827263023</v>
      </c>
      <c r="E141" s="14">
        <f t="shared" si="12"/>
        <v>195.19045151850537</v>
      </c>
      <c r="F141" s="14">
        <f t="shared" si="13"/>
        <v>194.10767838086414</v>
      </c>
    </row>
    <row r="142" spans="2:7" x14ac:dyDescent="0.35">
      <c r="B142">
        <v>84</v>
      </c>
      <c r="C142" s="14">
        <f t="shared" ref="C142:C173" si="14">SQRT(2/($C$33-1)*((B142/$H$20)^((1-$C$33)/$C$33) - 1))</f>
        <v>2.7263935407506574</v>
      </c>
      <c r="D142" s="14">
        <f t="shared" ref="D142:D173" si="15">1/C142*(2/($C$33+1)*(1 + ($C$33-1)/2*C142^2))^(($C$33+1)/(2*$C$33-2))</f>
        <v>4.8400973618928109</v>
      </c>
      <c r="E142" s="14">
        <f t="shared" si="12"/>
        <v>195.18904855428883</v>
      </c>
      <c r="F142" s="14">
        <f t="shared" si="13"/>
        <v>194.10864012883187</v>
      </c>
    </row>
    <row r="143" spans="2:7" x14ac:dyDescent="0.35">
      <c r="B143">
        <v>84.25</v>
      </c>
      <c r="C143" s="14">
        <f t="shared" si="14"/>
        <v>2.7248517593446731</v>
      </c>
      <c r="D143" s="14">
        <f t="shared" si="15"/>
        <v>4.8295601090667688</v>
      </c>
      <c r="E143" s="14">
        <f t="shared" ref="E143:E174" si="16">$C$37*$C$39/9.81*($C$33*SQRT(2/($C$33-1)*(2/($C$33+1))^(($C$33+1)/($C$33-1))*(1 - (B143/$H$20)^(($C$33-1)/$C$33))) + D143/$H$20*(B143 - $C$28))</f>
        <v>195.1875093644625</v>
      </c>
      <c r="F143" s="14">
        <f t="shared" ref="F143:F174" si="17">$C$37*$C$39/9.81*($C$33*SQRT(2/($C$33-1)*(2/($C$33+1))^(($C$33+1)/($C$33-1))*(1 - (B143/$H$20)^(($C$33-1)/$C$33))) + D143/$H$20*(B143 - $C$27))</f>
        <v>194.10945306870113</v>
      </c>
    </row>
    <row r="144" spans="2:7" x14ac:dyDescent="0.35">
      <c r="B144">
        <v>84.5</v>
      </c>
      <c r="C144" s="14">
        <f t="shared" si="14"/>
        <v>2.7233143734464158</v>
      </c>
      <c r="D144" s="14">
        <f t="shared" si="15"/>
        <v>4.8190787580269561</v>
      </c>
      <c r="E144" s="14">
        <f t="shared" si="16"/>
        <v>195.18583541188713</v>
      </c>
      <c r="F144" s="14">
        <f t="shared" si="17"/>
        <v>194.11011876740278</v>
      </c>
    </row>
    <row r="145" spans="2:7" x14ac:dyDescent="0.35">
      <c r="B145">
        <v>84.75</v>
      </c>
      <c r="C145" s="14">
        <f t="shared" si="14"/>
        <v>2.7217813569909581</v>
      </c>
      <c r="D145" s="14">
        <f t="shared" si="15"/>
        <v>4.808652847777938</v>
      </c>
      <c r="E145" s="14">
        <f t="shared" si="16"/>
        <v>195.18402814125656</v>
      </c>
      <c r="F145" s="14">
        <f t="shared" si="17"/>
        <v>194.1106387725342</v>
      </c>
    </row>
    <row r="146" spans="2:7" x14ac:dyDescent="0.35">
      <c r="B146">
        <v>85</v>
      </c>
      <c r="C146" s="14">
        <f t="shared" si="14"/>
        <v>2.7202526841447789</v>
      </c>
      <c r="D146" s="14">
        <f t="shared" si="15"/>
        <v>4.7982819224762094</v>
      </c>
      <c r="E146" s="14">
        <f t="shared" si="16"/>
        <v>195.18208897936884</v>
      </c>
      <c r="F146" s="14">
        <f t="shared" si="17"/>
        <v>194.11101461264704</v>
      </c>
    </row>
    <row r="147" spans="2:7" x14ac:dyDescent="0.35">
      <c r="B147">
        <v>85.25</v>
      </c>
      <c r="C147" s="14">
        <f t="shared" si="14"/>
        <v>2.7187283293030338</v>
      </c>
      <c r="D147" s="14">
        <f t="shared" si="15"/>
        <v>4.7879655313576599</v>
      </c>
      <c r="E147" s="14">
        <f t="shared" si="16"/>
        <v>195.18001933539273</v>
      </c>
      <c r="F147" s="14">
        <f t="shared" si="17"/>
        <v>194.11124779752978</v>
      </c>
    </row>
    <row r="148" spans="2:7" x14ac:dyDescent="0.35">
      <c r="B148">
        <v>85.5</v>
      </c>
      <c r="C148" s="14">
        <f t="shared" si="14"/>
        <v>2.7172082670868667</v>
      </c>
      <c r="D148" s="14">
        <f t="shared" si="15"/>
        <v>4.7777032286662537</v>
      </c>
      <c r="E148" s="14">
        <f t="shared" si="16"/>
        <v>195.1778206011295</v>
      </c>
      <c r="F148" s="14">
        <f t="shared" si="17"/>
        <v>194.11133981848565</v>
      </c>
      <c r="G148" s="11"/>
    </row>
    <row r="149" spans="2:7" x14ac:dyDescent="0.35">
      <c r="B149">
        <v>85.75</v>
      </c>
      <c r="C149" s="14">
        <f t="shared" si="14"/>
        <v>2.7156924723407569</v>
      </c>
      <c r="D149" s="14">
        <f t="shared" si="15"/>
        <v>4.7674945735839032</v>
      </c>
      <c r="E149" s="14">
        <f t="shared" si="16"/>
        <v>195.17549415127021</v>
      </c>
      <c r="F149" s="14">
        <f t="shared" si="17"/>
        <v>194.11129214860512</v>
      </c>
    </row>
    <row r="150" spans="2:7" x14ac:dyDescent="0.35">
      <c r="B150">
        <v>86</v>
      </c>
      <c r="C150" s="14">
        <f t="shared" si="14"/>
        <v>2.7141809201299019</v>
      </c>
      <c r="D150" s="14">
        <f t="shared" si="15"/>
        <v>4.7573391301615011</v>
      </c>
      <c r="E150" s="14">
        <f t="shared" si="16"/>
        <v>195.17304134364824</v>
      </c>
      <c r="F150" s="14">
        <f t="shared" si="17"/>
        <v>194.11110624303436</v>
      </c>
    </row>
    <row r="151" spans="2:7" x14ac:dyDescent="0.35">
      <c r="B151">
        <v>86.25</v>
      </c>
      <c r="C151" s="14">
        <f t="shared" si="14"/>
        <v>2.7126735857376496</v>
      </c>
      <c r="D151" s="14">
        <f t="shared" si="15"/>
        <v>4.747236467251196</v>
      </c>
      <c r="E151" s="14">
        <f t="shared" si="16"/>
        <v>195.17046351948756</v>
      </c>
      <c r="F151" s="14">
        <f t="shared" si="17"/>
        <v>194.11078353923838</v>
      </c>
    </row>
    <row r="152" spans="2:7" x14ac:dyDescent="0.35">
      <c r="B152">
        <v>86.5</v>
      </c>
      <c r="C152" s="14">
        <f t="shared" si="14"/>
        <v>2.7111704446629559</v>
      </c>
      <c r="D152" s="14">
        <f t="shared" si="15"/>
        <v>4.7371861584397204</v>
      </c>
      <c r="E152" s="14">
        <f t="shared" si="16"/>
        <v>195.16776200364706</v>
      </c>
      <c r="F152" s="14">
        <f t="shared" si="17"/>
        <v>194.11032545726013</v>
      </c>
    </row>
    <row r="153" spans="2:7" x14ac:dyDescent="0.35">
      <c r="B153">
        <v>86.75</v>
      </c>
      <c r="C153" s="14">
        <f t="shared" si="14"/>
        <v>2.7096714726178832</v>
      </c>
      <c r="D153" s="14">
        <f t="shared" si="15"/>
        <v>4.7271877819828534</v>
      </c>
      <c r="E153" s="14">
        <f t="shared" si="16"/>
        <v>195.16493810485963</v>
      </c>
      <c r="F153" s="14">
        <f t="shared" si="17"/>
        <v>194.10973339997446</v>
      </c>
    </row>
    <row r="154" spans="2:7" x14ac:dyDescent="0.35">
      <c r="B154">
        <v>87</v>
      </c>
      <c r="C154" s="14">
        <f t="shared" si="14"/>
        <v>2.7081766455251408</v>
      </c>
      <c r="D154" s="14">
        <f t="shared" si="15"/>
        <v>4.7172409207410162</v>
      </c>
      <c r="E154" s="14">
        <f t="shared" si="16"/>
        <v>195.16199311596853</v>
      </c>
      <c r="F154" s="14">
        <f t="shared" si="17"/>
        <v>194.10900875333871</v>
      </c>
    </row>
    <row r="155" spans="2:7" x14ac:dyDescent="0.35">
      <c r="B155">
        <v>87.25</v>
      </c>
      <c r="C155" s="14">
        <f t="shared" si="14"/>
        <v>2.7066859395156522</v>
      </c>
      <c r="D155" s="14">
        <f t="shared" si="15"/>
        <v>4.7073451621158942</v>
      </c>
      <c r="E155" s="14">
        <f t="shared" si="16"/>
        <v>195.1589283141584</v>
      </c>
      <c r="F155" s="14">
        <f t="shared" si="17"/>
        <v>194.10815288663784</v>
      </c>
    </row>
    <row r="156" spans="2:7" x14ac:dyDescent="0.35">
      <c r="B156">
        <v>87.5</v>
      </c>
      <c r="C156" s="14">
        <f t="shared" si="14"/>
        <v>2.7051993309261619</v>
      </c>
      <c r="D156" s="14">
        <f t="shared" si="15"/>
        <v>4.6975000979881543</v>
      </c>
      <c r="E156" s="14">
        <f t="shared" si="16"/>
        <v>195.15574496118302</v>
      </c>
      <c r="F156" s="14">
        <f t="shared" si="17"/>
        <v>194.10716715272619</v>
      </c>
    </row>
    <row r="157" spans="2:7" x14ac:dyDescent="0.35">
      <c r="B157">
        <v>87.75</v>
      </c>
      <c r="C157" s="14">
        <f t="shared" si="14"/>
        <v>2.7037167962968742</v>
      </c>
      <c r="D157" s="14">
        <f t="shared" si="15"/>
        <v>4.687705324656096</v>
      </c>
      <c r="E157" s="14">
        <f t="shared" si="16"/>
        <v>195.15244430358888</v>
      </c>
      <c r="F157" s="14">
        <f t="shared" si="17"/>
        <v>194.10605288826471</v>
      </c>
    </row>
    <row r="158" spans="2:7" x14ac:dyDescent="0.35">
      <c r="B158">
        <v>88</v>
      </c>
      <c r="C158" s="14">
        <f t="shared" si="14"/>
        <v>2.7022383123691296</v>
      </c>
      <c r="D158" s="14">
        <f t="shared" si="15"/>
        <v>4.6779604427754728</v>
      </c>
      <c r="E158" s="14">
        <f t="shared" si="16"/>
        <v>195.14902757293507</v>
      </c>
      <c r="F158" s="14">
        <f t="shared" si="17"/>
        <v>194.10481141395422</v>
      </c>
    </row>
    <row r="159" spans="2:7" x14ac:dyDescent="0.35">
      <c r="B159">
        <v>88.25</v>
      </c>
      <c r="C159" s="14">
        <f t="shared" si="14"/>
        <v>2.70076385608311</v>
      </c>
      <c r="D159" s="14">
        <f t="shared" si="15"/>
        <v>4.6682650573001574</v>
      </c>
      <c r="E159" s="14">
        <f t="shared" si="16"/>
        <v>195.14549598600942</v>
      </c>
      <c r="F159" s="14">
        <f t="shared" si="17"/>
        <v>194.103444034765</v>
      </c>
    </row>
    <row r="160" spans="2:7" x14ac:dyDescent="0.35">
      <c r="B160">
        <v>88.5</v>
      </c>
      <c r="C160" s="14">
        <f t="shared" si="14"/>
        <v>2.6992934045755801</v>
      </c>
      <c r="D160" s="14">
        <f t="shared" si="15"/>
        <v>4.6586187774238326</v>
      </c>
      <c r="E160" s="14">
        <f t="shared" si="16"/>
        <v>195.14185074504084</v>
      </c>
      <c r="F160" s="14">
        <f t="shared" si="17"/>
        <v>194.10195204016179</v>
      </c>
    </row>
    <row r="161" spans="2:6" x14ac:dyDescent="0.35">
      <c r="B161">
        <v>88.75</v>
      </c>
      <c r="C161" s="14">
        <f t="shared" si="14"/>
        <v>2.6978269351776567</v>
      </c>
      <c r="D161" s="14">
        <f t="shared" si="15"/>
        <v>4.6490212165226739</v>
      </c>
      <c r="E161" s="14">
        <f t="shared" si="16"/>
        <v>195.13809303790808</v>
      </c>
      <c r="F161" s="14">
        <f t="shared" si="17"/>
        <v>194.10033670432574</v>
      </c>
    </row>
    <row r="162" spans="2:6" x14ac:dyDescent="0.35">
      <c r="B162">
        <v>89</v>
      </c>
      <c r="C162" s="14">
        <f t="shared" si="14"/>
        <v>2.6963644254126127</v>
      </c>
      <c r="D162" s="14">
        <f t="shared" si="15"/>
        <v>4.6394719920988887</v>
      </c>
      <c r="E162" s="14">
        <f t="shared" si="16"/>
        <v>195.1342240383452</v>
      </c>
      <c r="F162" s="14">
        <f t="shared" si="17"/>
        <v>194.09859928637223</v>
      </c>
    </row>
    <row r="163" spans="2:6" x14ac:dyDescent="0.35">
      <c r="B163">
        <v>89.25</v>
      </c>
      <c r="C163" s="14">
        <f t="shared" si="14"/>
        <v>2.6949058529937115</v>
      </c>
      <c r="D163" s="14">
        <f t="shared" si="15"/>
        <v>4.6299707257252747</v>
      </c>
      <c r="E163" s="14">
        <f t="shared" si="16"/>
        <v>195.13024490614305</v>
      </c>
      <c r="F163" s="14">
        <f t="shared" si="17"/>
        <v>194.09674103056474</v>
      </c>
    </row>
    <row r="164" spans="2:6" x14ac:dyDescent="0.35">
      <c r="B164">
        <v>89.5</v>
      </c>
      <c r="C164" s="14">
        <f t="shared" si="14"/>
        <v>2.6934511958220724</v>
      </c>
      <c r="D164" s="14">
        <f t="shared" si="15"/>
        <v>4.6205170429905369</v>
      </c>
      <c r="E164" s="14">
        <f t="shared" si="16"/>
        <v>195.12615678734812</v>
      </c>
      <c r="F164" s="14">
        <f t="shared" si="17"/>
        <v>194.09476316652595</v>
      </c>
    </row>
    <row r="165" spans="2:6" x14ac:dyDescent="0.35">
      <c r="B165">
        <v>89.75</v>
      </c>
      <c r="C165" s="14">
        <f t="shared" si="14"/>
        <v>2.692000431984563</v>
      </c>
      <c r="D165" s="14">
        <f t="shared" si="15"/>
        <v>4.6111105734456608</v>
      </c>
      <c r="E165" s="14">
        <f t="shared" si="16"/>
        <v>195.12196081445731</v>
      </c>
      <c r="F165" s="14">
        <f t="shared" si="17"/>
        <v>194.09266690944457</v>
      </c>
    </row>
    <row r="166" spans="2:6" x14ac:dyDescent="0.35">
      <c r="B166">
        <v>90</v>
      </c>
      <c r="C166" s="14">
        <f t="shared" si="14"/>
        <v>2.6905535397517233</v>
      </c>
      <c r="D166" s="14">
        <f t="shared" si="15"/>
        <v>4.6017509505509802</v>
      </c>
      <c r="E166" s="14">
        <f t="shared" si="16"/>
        <v>195.11765810660981</v>
      </c>
      <c r="F166" s="14">
        <f t="shared" si="17"/>
        <v>194.09045346027898</v>
      </c>
    </row>
    <row r="167" spans="2:6" x14ac:dyDescent="0.35">
      <c r="B167">
        <v>90.25</v>
      </c>
      <c r="C167" s="14">
        <f t="shared" si="14"/>
        <v>2.6891104975757214</v>
      </c>
      <c r="D167" s="14">
        <f t="shared" si="15"/>
        <v>4.5924378116242339</v>
      </c>
      <c r="E167" s="14">
        <f t="shared" si="16"/>
        <v>195.11324976977585</v>
      </c>
      <c r="F167" s="14">
        <f t="shared" si="17"/>
        <v>194.08812400595741</v>
      </c>
    </row>
    <row r="168" spans="2:6" x14ac:dyDescent="0.35">
      <c r="B168">
        <v>90.5</v>
      </c>
      <c r="C168" s="14">
        <f t="shared" si="14"/>
        <v>2.6876712840883288</v>
      </c>
      <c r="D168" s="14">
        <f t="shared" si="15"/>
        <v>4.5831707977893528</v>
      </c>
      <c r="E168" s="14">
        <f t="shared" si="16"/>
        <v>195.10873689694205</v>
      </c>
      <c r="F168" s="14">
        <f t="shared" si="17"/>
        <v>194.08567971957496</v>
      </c>
    </row>
    <row r="169" spans="2:6" x14ac:dyDescent="0.35">
      <c r="B169">
        <v>90.75</v>
      </c>
      <c r="C169" s="14">
        <f t="shared" si="14"/>
        <v>2.6862358780989362</v>
      </c>
      <c r="D169" s="14">
        <f t="shared" si="15"/>
        <v>4.5739495539261537</v>
      </c>
      <c r="E169" s="14">
        <f t="shared" si="16"/>
        <v>195.10412056829401</v>
      </c>
      <c r="F169" s="14">
        <f t="shared" si="17"/>
        <v>194.08312176058729</v>
      </c>
    </row>
    <row r="170" spans="2:6" x14ac:dyDescent="0.35">
      <c r="B170">
        <v>91</v>
      </c>
      <c r="C170" s="14">
        <f t="shared" si="14"/>
        <v>2.6848042585925853</v>
      </c>
      <c r="D170" s="14">
        <f t="shared" si="15"/>
        <v>4.5647737286207466</v>
      </c>
      <c r="E170" s="14">
        <f t="shared" si="16"/>
        <v>195.09940185139533</v>
      </c>
      <c r="F170" s="14">
        <f t="shared" si="17"/>
        <v>194.08045127500077</v>
      </c>
    </row>
    <row r="171" spans="2:6" x14ac:dyDescent="0.35">
      <c r="B171">
        <v>91.25</v>
      </c>
      <c r="C171" s="14">
        <f t="shared" si="14"/>
        <v>2.6833764047280355</v>
      </c>
      <c r="D171" s="14">
        <f t="shared" si="15"/>
        <v>4.5556429741168287</v>
      </c>
      <c r="E171" s="14">
        <f t="shared" si="16"/>
        <v>195.09458180136463</v>
      </c>
      <c r="F171" s="14">
        <f t="shared" si="17"/>
        <v>194.07766939556029</v>
      </c>
    </row>
    <row r="172" spans="2:6" x14ac:dyDescent="0.35">
      <c r="B172">
        <v>91.5</v>
      </c>
      <c r="C172" s="14">
        <f t="shared" si="14"/>
        <v>2.6819522958358504</v>
      </c>
      <c r="D172" s="14">
        <f t="shared" si="15"/>
        <v>4.546556946267625</v>
      </c>
      <c r="E172" s="14">
        <f t="shared" si="16"/>
        <v>195.08966146104834</v>
      </c>
      <c r="F172" s="14">
        <f t="shared" si="17"/>
        <v>194.07477724193285</v>
      </c>
    </row>
    <row r="173" spans="2:6" x14ac:dyDescent="0.35">
      <c r="B173">
        <v>91.75</v>
      </c>
      <c r="C173" s="14">
        <f t="shared" si="14"/>
        <v>2.6805319114165203</v>
      </c>
      <c r="D173" s="14">
        <f t="shared" si="15"/>
        <v>4.5375153044887542</v>
      </c>
      <c r="E173" s="14">
        <f t="shared" si="16"/>
        <v>195.08464186119195</v>
      </c>
      <c r="F173" s="14">
        <f t="shared" si="17"/>
        <v>194.07177592088937</v>
      </c>
    </row>
    <row r="174" spans="2:6" x14ac:dyDescent="0.35">
      <c r="B174">
        <v>92</v>
      </c>
      <c r="C174" s="14">
        <f t="shared" ref="C174:C205" si="18">SQRT(2/($C$33-1)*((B174/$H$20)^((1-$C$33)/$C$33) - 1))</f>
        <v>2.6791152311385953</v>
      </c>
      <c r="D174" s="14">
        <f t="shared" ref="D174:D205" si="19">1/C174*(2/($C$33+1)*(1 + ($C$33-1)/2*C174^2))^(($C$33+1)/(2*$C$33-2))</f>
        <v>4.528517711711638</v>
      </c>
      <c r="E174" s="14">
        <f t="shared" si="16"/>
        <v>195.07952402060769</v>
      </c>
      <c r="F174" s="14">
        <f t="shared" si="17"/>
        <v>194.06866652648262</v>
      </c>
    </row>
    <row r="175" spans="2:6" x14ac:dyDescent="0.35">
      <c r="B175">
        <v>92.25</v>
      </c>
      <c r="C175" s="14">
        <f t="shared" si="18"/>
        <v>2.6777022348368642</v>
      </c>
      <c r="D175" s="14">
        <f t="shared" si="19"/>
        <v>4.5195638343378661</v>
      </c>
      <c r="E175" s="14">
        <f t="shared" ref="E175:E206" si="20">$C$37*$C$39/9.81*($C$33*SQRT(2/($C$33-1)*(2/($C$33+1))^(($C$33+1)/($C$33-1))*(1 - (B175/$H$20)^(($C$33-1)/$C$33))) + D175/$H$20*(B175 - $C$28))</f>
        <v>195.07430894633956</v>
      </c>
      <c r="F175" s="14">
        <f t="shared" ref="F175:F206" si="21">$C$37*$C$39/9.81*($C$33*SQRT(2/($C$33-1)*(2/($C$33+1))^(($C$33+1)/($C$33-1))*(1 - (B175/$H$20)^(($C$33-1)/$C$33))) + D175/$H$20*(B175 - $C$27))</f>
        <v>194.06545014022257</v>
      </c>
    </row>
    <row r="176" spans="2:6" x14ac:dyDescent="0.35">
      <c r="B176">
        <v>92.5</v>
      </c>
      <c r="C176" s="14">
        <f t="shared" si="18"/>
        <v>2.676292902510538</v>
      </c>
      <c r="D176" s="14">
        <f t="shared" si="19"/>
        <v>4.5106533421940629</v>
      </c>
      <c r="E176" s="14">
        <f t="shared" si="20"/>
        <v>195.06899763382606</v>
      </c>
      <c r="F176" s="14">
        <f t="shared" si="21"/>
        <v>194.06212783124911</v>
      </c>
    </row>
    <row r="177" spans="2:6" x14ac:dyDescent="0.35">
      <c r="B177">
        <v>92.75</v>
      </c>
      <c r="C177" s="14">
        <f t="shared" si="18"/>
        <v>2.6748872143214677</v>
      </c>
      <c r="D177" s="14">
        <f t="shared" si="19"/>
        <v>4.5017859084875989</v>
      </c>
      <c r="E177" s="14">
        <f t="shared" si="20"/>
        <v>195.06359106705929</v>
      </c>
      <c r="F177" s="14">
        <f t="shared" si="21"/>
        <v>194.05870065650123</v>
      </c>
    </row>
    <row r="178" spans="2:6" x14ac:dyDescent="0.35">
      <c r="B178">
        <v>93</v>
      </c>
      <c r="C178" s="14">
        <f t="shared" si="18"/>
        <v>2.6734851505923922</v>
      </c>
      <c r="D178" s="14">
        <f t="shared" si="19"/>
        <v>4.4929612097629921</v>
      </c>
      <c r="E178" s="14">
        <f t="shared" si="20"/>
        <v>195.05809021874325</v>
      </c>
      <c r="F178" s="14">
        <f t="shared" si="21"/>
        <v>194.0551696608847</v>
      </c>
    </row>
    <row r="179" spans="2:6" x14ac:dyDescent="0.35">
      <c r="B179">
        <v>93.25</v>
      </c>
      <c r="C179" s="14">
        <f t="shared" si="18"/>
        <v>2.6720866918051942</v>
      </c>
      <c r="D179" s="14">
        <f t="shared" si="19"/>
        <v>4.4841789258588713</v>
      </c>
      <c r="E179" s="14">
        <f t="shared" si="20"/>
        <v>195.05249605044744</v>
      </c>
      <c r="F179" s="14">
        <f t="shared" si="21"/>
        <v>194.05153587743561</v>
      </c>
    </row>
    <row r="180" spans="2:6" x14ac:dyDescent="0.35">
      <c r="B180">
        <v>93.5</v>
      </c>
      <c r="C180" s="14">
        <f t="shared" si="18"/>
        <v>2.670691818599193</v>
      </c>
      <c r="D180" s="14">
        <f t="shared" si="19"/>
        <v>4.4754387398657407</v>
      </c>
      <c r="E180" s="14">
        <f t="shared" si="20"/>
        <v>195.04680951275972</v>
      </c>
      <c r="F180" s="14">
        <f t="shared" si="21"/>
        <v>194.04780032748243</v>
      </c>
    </row>
    <row r="181" spans="2:6" x14ac:dyDescent="0.35">
      <c r="B181">
        <v>93.75</v>
      </c>
      <c r="C181" s="14">
        <f t="shared" si="18"/>
        <v>2.6693005117694555</v>
      </c>
      <c r="D181" s="14">
        <f t="shared" si="19"/>
        <v>4.4667403380843167</v>
      </c>
      <c r="E181" s="14">
        <f t="shared" si="20"/>
        <v>195.04103154543571</v>
      </c>
      <c r="F181" s="14">
        <f t="shared" si="21"/>
        <v>194.04396402080491</v>
      </c>
    </row>
    <row r="182" spans="2:6" x14ac:dyDescent="0.35">
      <c r="B182">
        <v>94</v>
      </c>
      <c r="C182" s="14">
        <f t="shared" si="18"/>
        <v>2.6679127522651291</v>
      </c>
      <c r="D182" s="14">
        <f t="shared" si="19"/>
        <v>4.4580834099845656</v>
      </c>
      <c r="E182" s="14">
        <f t="shared" si="20"/>
        <v>195.03516307754623</v>
      </c>
      <c r="F182" s="14">
        <f t="shared" si="21"/>
        <v>194.04002795579041</v>
      </c>
    </row>
    <row r="183" spans="2:6" x14ac:dyDescent="0.35">
      <c r="B183">
        <v>94.25</v>
      </c>
      <c r="C183" s="14">
        <f t="shared" si="18"/>
        <v>2.6665285211877952</v>
      </c>
      <c r="D183" s="14">
        <f t="shared" si="19"/>
        <v>4.4494676481652844</v>
      </c>
      <c r="E183" s="14">
        <f t="shared" si="20"/>
        <v>195.02920502762203</v>
      </c>
      <c r="F183" s="14">
        <f t="shared" si="21"/>
        <v>194.035993119588</v>
      </c>
    </row>
    <row r="184" spans="2:6" x14ac:dyDescent="0.35">
      <c r="B184">
        <v>94.5</v>
      </c>
      <c r="C184" s="14">
        <f t="shared" si="18"/>
        <v>2.6651477997898509</v>
      </c>
      <c r="D184" s="14">
        <f t="shared" si="19"/>
        <v>4.4408927483144156</v>
      </c>
      <c r="E184" s="14">
        <f t="shared" si="20"/>
        <v>195.02315830379681</v>
      </c>
      <c r="F184" s="14">
        <f t="shared" si="21"/>
        <v>194.03186048826004</v>
      </c>
    </row>
    <row r="185" spans="2:6" x14ac:dyDescent="0.35">
      <c r="B185">
        <v>94.75</v>
      </c>
      <c r="C185" s="14">
        <f t="shared" si="18"/>
        <v>2.6637705694729066</v>
      </c>
      <c r="D185" s="14">
        <f t="shared" si="19"/>
        <v>4.4323584091698827</v>
      </c>
      <c r="E185" s="14">
        <f t="shared" si="20"/>
        <v>195.01702380394744</v>
      </c>
      <c r="F185" s="14">
        <f t="shared" si="21"/>
        <v>194.02763102693118</v>
      </c>
    </row>
    <row r="186" spans="2:6" x14ac:dyDescent="0.35">
      <c r="B186">
        <v>95</v>
      </c>
      <c r="C186" s="14">
        <f t="shared" si="18"/>
        <v>2.6623968117862051</v>
      </c>
      <c r="D186" s="14">
        <f t="shared" si="19"/>
        <v>4.4238643324810427</v>
      </c>
      <c r="E186" s="14">
        <f t="shared" si="20"/>
        <v>195.01080241583173</v>
      </c>
      <c r="F186" s="14">
        <f t="shared" si="21"/>
        <v>194.02330568993489</v>
      </c>
    </row>
    <row r="187" spans="2:6" x14ac:dyDescent="0.35">
      <c r="B187">
        <v>95.25</v>
      </c>
      <c r="C187" s="14">
        <f t="shared" si="18"/>
        <v>2.6610265084250622</v>
      </c>
      <c r="D187" s="14">
        <f t="shared" si="19"/>
        <v>4.4154102229707464</v>
      </c>
      <c r="E187" s="14">
        <f t="shared" si="20"/>
        <v>195.004495017225</v>
      </c>
      <c r="F187" s="14">
        <f t="shared" si="21"/>
        <v>194.01888542095833</v>
      </c>
    </row>
    <row r="188" spans="2:6" x14ac:dyDescent="0.35">
      <c r="B188">
        <v>95.5</v>
      </c>
      <c r="C188" s="14">
        <f t="shared" si="18"/>
        <v>2.6596596412293336</v>
      </c>
      <c r="D188" s="14">
        <f t="shared" si="19"/>
        <v>4.406995788297996</v>
      </c>
      <c r="E188" s="14">
        <f t="shared" si="20"/>
        <v>194.99810247605348</v>
      </c>
      <c r="F188" s="14">
        <f t="shared" si="21"/>
        <v>194.01437115318424</v>
      </c>
    </row>
    <row r="189" spans="2:6" x14ac:dyDescent="0.35">
      <c r="B189">
        <v>95.75</v>
      </c>
      <c r="C189" s="14">
        <f t="shared" si="18"/>
        <v>2.6582961921818895</v>
      </c>
      <c r="D189" s="14">
        <f t="shared" si="19"/>
        <v>4.3986207390210712</v>
      </c>
      <c r="E189" s="14">
        <f t="shared" si="20"/>
        <v>194.99162565052592</v>
      </c>
      <c r="F189" s="14">
        <f t="shared" si="21"/>
        <v>194.00976380943072</v>
      </c>
    </row>
    <row r="190" spans="2:6" x14ac:dyDescent="0.35">
      <c r="B190">
        <v>96</v>
      </c>
      <c r="C190" s="14">
        <f t="shared" si="18"/>
        <v>2.656936143407123</v>
      </c>
      <c r="D190" s="14">
        <f t="shared" si="19"/>
        <v>4.3902847885613507</v>
      </c>
      <c r="E190" s="14">
        <f t="shared" si="20"/>
        <v>194.98506538926367</v>
      </c>
      <c r="F190" s="14">
        <f t="shared" si="21"/>
        <v>194.00506430228921</v>
      </c>
    </row>
    <row r="191" spans="2:6" x14ac:dyDescent="0.35">
      <c r="B191">
        <v>96.25</v>
      </c>
      <c r="C191" s="14">
        <f t="shared" si="18"/>
        <v>2.655579477169467</v>
      </c>
      <c r="D191" s="14">
        <f t="shared" si="19"/>
        <v>4.3819876531675499</v>
      </c>
      <c r="E191" s="14">
        <f t="shared" si="20"/>
        <v>194.97842253142778</v>
      </c>
      <c r="F191" s="14">
        <f t="shared" si="21"/>
        <v>194.00027353425983</v>
      </c>
    </row>
    <row r="192" spans="2:6" x14ac:dyDescent="0.35">
      <c r="B192">
        <v>96.5</v>
      </c>
      <c r="C192" s="14">
        <f t="shared" si="18"/>
        <v>2.6542261758719357</v>
      </c>
      <c r="D192" s="14">
        <f t="shared" si="19"/>
        <v>4.3737290518805754</v>
      </c>
      <c r="E192" s="14">
        <f t="shared" si="20"/>
        <v>194.97169790684484</v>
      </c>
      <c r="F192" s="14">
        <f t="shared" si="21"/>
        <v>193.99539239788504</v>
      </c>
    </row>
    <row r="193" spans="2:6" x14ac:dyDescent="0.35">
      <c r="B193">
        <v>96.75</v>
      </c>
      <c r="C193" s="14">
        <f t="shared" si="18"/>
        <v>2.6528762220546862</v>
      </c>
      <c r="D193" s="14">
        <f t="shared" si="19"/>
        <v>4.3655087064988889</v>
      </c>
      <c r="E193" s="14">
        <f t="shared" si="20"/>
        <v>194.96489233613045</v>
      </c>
      <c r="F193" s="14">
        <f t="shared" si="21"/>
        <v>193.99042177588069</v>
      </c>
    </row>
    <row r="194" spans="2:6" x14ac:dyDescent="0.35">
      <c r="B194">
        <v>97</v>
      </c>
      <c r="C194" s="14">
        <f t="shared" si="18"/>
        <v>2.6515295983935951</v>
      </c>
      <c r="D194" s="14">
        <f t="shared" si="19"/>
        <v>4.3573263415443853</v>
      </c>
      <c r="E194" s="14">
        <f t="shared" si="20"/>
        <v>194.95800663081113</v>
      </c>
      <c r="F194" s="14">
        <f t="shared" si="21"/>
        <v>193.98536254126557</v>
      </c>
    </row>
    <row r="195" spans="2:6" x14ac:dyDescent="0.35">
      <c r="B195">
        <v>97.25</v>
      </c>
      <c r="C195" s="14">
        <f t="shared" si="18"/>
        <v>2.650186287698856</v>
      </c>
      <c r="D195" s="14">
        <f t="shared" si="19"/>
        <v>4.3491816842287809</v>
      </c>
      <c r="E195" s="14">
        <f t="shared" si="20"/>
        <v>194.95104159344393</v>
      </c>
      <c r="F195" s="14">
        <f t="shared" si="21"/>
        <v>193.98021555748866</v>
      </c>
    </row>
    <row r="196" spans="2:6" x14ac:dyDescent="0.35">
      <c r="B196">
        <v>97.5</v>
      </c>
      <c r="C196" s="14">
        <f t="shared" si="18"/>
        <v>2.6488462729135906</v>
      </c>
      <c r="D196" s="14">
        <f t="shared" si="19"/>
        <v>4.3410744644204611</v>
      </c>
      <c r="E196" s="14">
        <f t="shared" si="20"/>
        <v>194.94399801773443</v>
      </c>
      <c r="F196" s="14">
        <f t="shared" si="21"/>
        <v>193.97498167855446</v>
      </c>
    </row>
    <row r="197" spans="2:6" x14ac:dyDescent="0.35">
      <c r="B197">
        <v>97.75</v>
      </c>
      <c r="C197" s="14">
        <f t="shared" si="18"/>
        <v>2.6475095371124873</v>
      </c>
      <c r="D197" s="14">
        <f t="shared" si="19"/>
        <v>4.3330044146119171</v>
      </c>
      <c r="E197" s="14">
        <f t="shared" si="20"/>
        <v>194.93687668865292</v>
      </c>
      <c r="F197" s="14">
        <f t="shared" si="21"/>
        <v>193.96966174914638</v>
      </c>
    </row>
    <row r="198" spans="2:6" x14ac:dyDescent="0.35">
      <c r="B198">
        <v>98</v>
      </c>
      <c r="C198" s="14">
        <f t="shared" si="18"/>
        <v>2.6461760635004472</v>
      </c>
      <c r="D198" s="14">
        <f t="shared" si="19"/>
        <v>4.3249712698875795</v>
      </c>
      <c r="E198" s="14">
        <f t="shared" si="20"/>
        <v>194.9296783825487</v>
      </c>
      <c r="F198" s="14">
        <f t="shared" si="21"/>
        <v>193.96425660474824</v>
      </c>
    </row>
    <row r="199" spans="2:6" x14ac:dyDescent="0.35">
      <c r="B199">
        <v>98.25</v>
      </c>
      <c r="C199" s="14">
        <f t="shared" si="18"/>
        <v>2.6448458354112523</v>
      </c>
      <c r="D199" s="14">
        <f t="shared" si="19"/>
        <v>4.3169747678921553</v>
      </c>
      <c r="E199" s="14">
        <f t="shared" si="20"/>
        <v>194.92240386726272</v>
      </c>
      <c r="F199" s="14">
        <f t="shared" si="21"/>
        <v>193.95876707176407</v>
      </c>
    </row>
    <row r="200" spans="2:6" x14ac:dyDescent="0.35">
      <c r="B200">
        <v>98.5</v>
      </c>
      <c r="C200" s="14">
        <f t="shared" si="18"/>
        <v>2.643518836306249</v>
      </c>
      <c r="D200" s="14">
        <f t="shared" si="19"/>
        <v>4.3090146487994119</v>
      </c>
      <c r="E200" s="14">
        <f t="shared" si="20"/>
        <v>194.91505390223813</v>
      </c>
      <c r="F200" s="14">
        <f t="shared" si="21"/>
        <v>193.95319396763557</v>
      </c>
    </row>
    <row r="201" spans="2:6" x14ac:dyDescent="0.35">
      <c r="B201">
        <v>98.75</v>
      </c>
      <c r="C201" s="14">
        <f t="shared" si="18"/>
        <v>2.6421950497730506</v>
      </c>
      <c r="D201" s="14">
        <f t="shared" si="19"/>
        <v>4.301090655281488</v>
      </c>
      <c r="E201" s="14">
        <f t="shared" si="20"/>
        <v>194.90762923863002</v>
      </c>
      <c r="F201" s="14">
        <f t="shared" si="21"/>
        <v>193.94753810095855</v>
      </c>
    </row>
    <row r="202" spans="2:6" x14ac:dyDescent="0.35">
      <c r="B202">
        <v>99</v>
      </c>
      <c r="C202" s="14">
        <f t="shared" si="18"/>
        <v>2.6408744595242553</v>
      </c>
      <c r="D202" s="14">
        <f t="shared" si="19"/>
        <v>4.2932025324785386</v>
      </c>
      <c r="E202" s="14">
        <f t="shared" si="20"/>
        <v>194.90013061941227</v>
      </c>
      <c r="F202" s="14">
        <f t="shared" si="21"/>
        <v>193.94180027159692</v>
      </c>
    </row>
    <row r="203" spans="2:6" x14ac:dyDescent="0.35">
      <c r="B203">
        <v>99.25</v>
      </c>
      <c r="C203" s="14">
        <f t="shared" si="18"/>
        <v>2.6395570493961764</v>
      </c>
      <c r="D203" s="14">
        <f t="shared" si="19"/>
        <v>4.2853500279689438</v>
      </c>
      <c r="E203" s="14">
        <f t="shared" si="20"/>
        <v>194.89255877948366</v>
      </c>
      <c r="F203" s="14">
        <f t="shared" si="21"/>
        <v>193.93598127079503</v>
      </c>
    </row>
    <row r="204" spans="2:6" x14ac:dyDescent="0.35">
      <c r="B204">
        <v>99.5</v>
      </c>
      <c r="C204" s="14">
        <f t="shared" si="18"/>
        <v>2.6382428033475986</v>
      </c>
      <c r="D204" s="14">
        <f t="shared" si="19"/>
        <v>4.277532891739888</v>
      </c>
      <c r="E204" s="14">
        <f t="shared" si="20"/>
        <v>194.88491444577224</v>
      </c>
      <c r="F204" s="14">
        <f t="shared" si="21"/>
        <v>193.93008188128891</v>
      </c>
    </row>
    <row r="205" spans="2:6" x14ac:dyDescent="0.35">
      <c r="B205">
        <v>99.75</v>
      </c>
      <c r="C205" s="14">
        <f t="shared" si="18"/>
        <v>2.6369317054585348</v>
      </c>
      <c r="D205" s="14">
        <f t="shared" si="19"/>
        <v>4.2697508761583229</v>
      </c>
      <c r="E205" s="14">
        <f t="shared" si="20"/>
        <v>194.8771983373378</v>
      </c>
      <c r="F205" s="14">
        <f t="shared" si="21"/>
        <v>193.92410287741515</v>
      </c>
    </row>
    <row r="206" spans="2:6" x14ac:dyDescent="0.35">
      <c r="B206">
        <v>100</v>
      </c>
      <c r="C206" s="14">
        <f t="shared" ref="C206:C226" si="22">SQRT(2/($C$33-1)*((B206/$H$20)^((1-$C$33)/$C$33) - 1))</f>
        <v>2.6356237399290152</v>
      </c>
      <c r="D206" s="14">
        <f t="shared" ref="D206:D226" si="23">1/C206*(2/($C$33+1)*(1 + ($C$33-1)/2*C206^2))^(($C$33+1)/(2*$C$33-2))</f>
        <v>4.2620037359424838</v>
      </c>
      <c r="E206" s="14">
        <f t="shared" si="20"/>
        <v>194.86941116547297</v>
      </c>
      <c r="F206" s="14">
        <f t="shared" si="21"/>
        <v>193.91804502521819</v>
      </c>
    </row>
    <row r="207" spans="2:6" x14ac:dyDescent="0.35">
      <c r="B207">
        <v>100.25</v>
      </c>
      <c r="C207" s="14">
        <f t="shared" si="22"/>
        <v>2.6343188910778794</v>
      </c>
      <c r="D207" s="14">
        <f t="shared" si="23"/>
        <v>4.2542912281337006</v>
      </c>
      <c r="E207" s="14">
        <f t="shared" ref="E207:E226" si="24">$C$37*$C$39/9.81*($C$33*SQRT(2/($C$33-1)*(2/($C$33+1))^(($C$33+1)/($C$33-1))*(1 - (B207/$H$20)^(($C$33-1)/$C$33))) + D207/$H$20*(B207 - $C$28))</f>
        <v>194.86155363380288</v>
      </c>
      <c r="F207" s="14">
        <f t="shared" ref="F207:F226" si="25">$C$37*$C$39/9.81*($C$33*SQRT(2/($C$33-1)*(2/($C$33+1))^(($C$33+1)/($C$33-1))*(1 - (B207/$H$20)^(($C$33-1)/$C$33))) + D207/$H$20*(B207 - $C$27))</f>
        <v>193.91190908255658</v>
      </c>
    </row>
    <row r="208" spans="2:6" x14ac:dyDescent="0.35">
      <c r="B208">
        <v>100.5</v>
      </c>
      <c r="C208" s="14">
        <f t="shared" si="22"/>
        <v>2.6330171433415881</v>
      </c>
      <c r="D208" s="14">
        <f t="shared" si="23"/>
        <v>4.2466131120686388</v>
      </c>
      <c r="E208" s="14">
        <f t="shared" si="24"/>
        <v>194.85362643838323</v>
      </c>
      <c r="F208" s="14">
        <f t="shared" si="25"/>
        <v>193.90569579920685</v>
      </c>
    </row>
    <row r="209" spans="2:6" x14ac:dyDescent="0.35">
      <c r="B209">
        <v>100.75</v>
      </c>
      <c r="C209" s="14">
        <f t="shared" si="22"/>
        <v>2.631718481273051</v>
      </c>
      <c r="D209" s="14">
        <f t="shared" si="23"/>
        <v>4.2389691493519956</v>
      </c>
      <c r="E209" s="14">
        <f t="shared" si="24"/>
        <v>194.84563026779668</v>
      </c>
      <c r="F209" s="14">
        <f t="shared" si="25"/>
        <v>193.89940591696646</v>
      </c>
    </row>
    <row r="210" spans="2:6" x14ac:dyDescent="0.35">
      <c r="B210">
        <v>101</v>
      </c>
      <c r="C210" s="14">
        <f t="shared" si="22"/>
        <v>2.6304228895404642</v>
      </c>
      <c r="D210" s="14">
        <f t="shared" si="23"/>
        <v>4.2313591038295009</v>
      </c>
      <c r="E210" s="14">
        <f t="shared" si="24"/>
        <v>194.83756580324834</v>
      </c>
      <c r="F210" s="14">
        <f t="shared" si="25"/>
        <v>193.89304016975498</v>
      </c>
    </row>
    <row r="211" spans="2:6" x14ac:dyDescent="0.35">
      <c r="B211">
        <v>101.25</v>
      </c>
      <c r="C211" s="14">
        <f t="shared" si="22"/>
        <v>2.6291303529261709</v>
      </c>
      <c r="D211" s="14">
        <f t="shared" si="23"/>
        <v>4.2237827415614175</v>
      </c>
      <c r="E211" s="14">
        <f t="shared" si="24"/>
        <v>194.82943371865935</v>
      </c>
      <c r="F211" s="14">
        <f t="shared" si="25"/>
        <v>193.88659928371362</v>
      </c>
    </row>
    <row r="212" spans="2:6" x14ac:dyDescent="0.35">
      <c r="B212">
        <v>101.5</v>
      </c>
      <c r="C212" s="14">
        <f t="shared" si="22"/>
        <v>2.627840856325526</v>
      </c>
      <c r="D212" s="14">
        <f t="shared" si="23"/>
        <v>4.2162398307962876</v>
      </c>
      <c r="E212" s="14">
        <f t="shared" si="24"/>
        <v>194.82123468075903</v>
      </c>
      <c r="F212" s="14">
        <f t="shared" si="25"/>
        <v>193.88008397730331</v>
      </c>
    </row>
    <row r="213" spans="2:6" x14ac:dyDescent="0.35">
      <c r="B213">
        <v>101.75</v>
      </c>
      <c r="C213" s="14">
        <f t="shared" si="22"/>
        <v>2.6265543847457793</v>
      </c>
      <c r="D213" s="14">
        <f t="shared" si="23"/>
        <v>4.2087301419451535</v>
      </c>
      <c r="E213" s="14">
        <f t="shared" si="24"/>
        <v>194.81296934917606</v>
      </c>
      <c r="F213" s="14">
        <f t="shared" si="25"/>
        <v>193.87349496140175</v>
      </c>
    </row>
    <row r="214" spans="2:6" x14ac:dyDescent="0.35">
      <c r="B214">
        <v>102</v>
      </c>
      <c r="C214" s="14">
        <f t="shared" si="22"/>
        <v>2.625270923304976</v>
      </c>
      <c r="D214" s="14">
        <f t="shared" si="23"/>
        <v>4.2012534475561347</v>
      </c>
      <c r="E214" s="14">
        <f t="shared" si="24"/>
        <v>194.80463837652795</v>
      </c>
      <c r="F214" s="14">
        <f t="shared" si="25"/>
        <v>193.86683293939834</v>
      </c>
    </row>
    <row r="215" spans="2:6" x14ac:dyDescent="0.35">
      <c r="B215">
        <v>102.25</v>
      </c>
      <c r="C215" s="14">
        <f t="shared" si="22"/>
        <v>2.6239904572308674</v>
      </c>
      <c r="D215" s="14">
        <f t="shared" si="23"/>
        <v>4.1938095222893041</v>
      </c>
      <c r="E215" s="14">
        <f t="shared" si="24"/>
        <v>194.79624240850967</v>
      </c>
      <c r="F215" s="14">
        <f t="shared" si="25"/>
        <v>193.86009860728848</v>
      </c>
    </row>
    <row r="216" spans="2:6" x14ac:dyDescent="0.35">
      <c r="B216">
        <v>102.5</v>
      </c>
      <c r="C216" s="14">
        <f t="shared" si="22"/>
        <v>2.6227129718598281</v>
      </c>
      <c r="D216" s="14">
        <f t="shared" si="23"/>
        <v>4.1863981428919699</v>
      </c>
      <c r="E216" s="14">
        <f t="shared" si="24"/>
        <v>194.78778208397989</v>
      </c>
      <c r="F216" s="14">
        <f t="shared" si="25"/>
        <v>193.85329265376541</v>
      </c>
    </row>
    <row r="217" spans="2:6" x14ac:dyDescent="0.35">
      <c r="B217">
        <v>102.75</v>
      </c>
      <c r="C217" s="14">
        <f t="shared" si="22"/>
        <v>2.6214384526358034</v>
      </c>
      <c r="D217" s="14">
        <f t="shared" si="23"/>
        <v>4.1790190881743143</v>
      </c>
      <c r="E217" s="14">
        <f t="shared" si="24"/>
        <v>194.77925803504738</v>
      </c>
      <c r="F217" s="14">
        <f t="shared" si="25"/>
        <v>193.84641576031197</v>
      </c>
    </row>
    <row r="218" spans="2:6" x14ac:dyDescent="0.35">
      <c r="B218">
        <v>103</v>
      </c>
      <c r="C218" s="14">
        <f t="shared" si="22"/>
        <v>2.6201668851092492</v>
      </c>
      <c r="D218" s="14">
        <f t="shared" si="23"/>
        <v>4.1716721389853459</v>
      </c>
      <c r="E218" s="14">
        <f t="shared" si="24"/>
        <v>194.77067088715518</v>
      </c>
      <c r="F218" s="14">
        <f t="shared" si="25"/>
        <v>193.83946860129015</v>
      </c>
    </row>
    <row r="219" spans="2:6" x14ac:dyDescent="0.35">
      <c r="B219">
        <v>103.25</v>
      </c>
      <c r="C219" s="14">
        <f t="shared" si="22"/>
        <v>2.6188982549361048</v>
      </c>
      <c r="D219" s="14">
        <f t="shared" si="23"/>
        <v>4.1643570781892034</v>
      </c>
      <c r="E219" s="14">
        <f t="shared" si="24"/>
        <v>194.76202125916359</v>
      </c>
      <c r="F219" s="14">
        <f t="shared" si="25"/>
        <v>193.83245184402946</v>
      </c>
    </row>
    <row r="220" spans="2:6" x14ac:dyDescent="0.35">
      <c r="B220">
        <v>103.5</v>
      </c>
      <c r="C220" s="14">
        <f t="shared" si="22"/>
        <v>2.6176325478767581</v>
      </c>
      <c r="D220" s="14">
        <f t="shared" si="23"/>
        <v>4.1570736906417665</v>
      </c>
      <c r="E220" s="14">
        <f t="shared" si="24"/>
        <v>194.7533097634325</v>
      </c>
      <c r="F220" s="14">
        <f t="shared" si="25"/>
        <v>193.8253661489143</v>
      </c>
    </row>
    <row r="221" spans="2:6" x14ac:dyDescent="0.35">
      <c r="B221">
        <v>103.75</v>
      </c>
      <c r="C221" s="14">
        <f t="shared" si="22"/>
        <v>2.616369749795044</v>
      </c>
      <c r="D221" s="14">
        <f t="shared" si="23"/>
        <v>4.1498217631676697</v>
      </c>
      <c r="E221" s="14">
        <f t="shared" si="24"/>
        <v>194.74453700590186</v>
      </c>
      <c r="F221" s="14">
        <f t="shared" si="25"/>
        <v>193.81821216946975</v>
      </c>
    </row>
    <row r="222" spans="2:6" x14ac:dyDescent="0.35">
      <c r="B222">
        <v>104</v>
      </c>
      <c r="C222" s="14">
        <f t="shared" si="22"/>
        <v>2.6151098466572344</v>
      </c>
      <c r="D222" s="14">
        <f t="shared" si="23"/>
        <v>4.1426010845375263</v>
      </c>
      <c r="E222" s="14">
        <f t="shared" si="24"/>
        <v>194.73570358617155</v>
      </c>
      <c r="F222" s="14">
        <f t="shared" si="25"/>
        <v>193.81099055244627</v>
      </c>
    </row>
    <row r="223" spans="2:6" x14ac:dyDescent="0.35">
      <c r="B223">
        <v>104.25</v>
      </c>
      <c r="C223" s="14">
        <f t="shared" si="22"/>
        <v>2.6138528245310595</v>
      </c>
      <c r="D223" s="14">
        <f t="shared" si="23"/>
        <v>4.1354114454455653</v>
      </c>
      <c r="E223" s="14">
        <f t="shared" si="24"/>
        <v>194.72681009757949</v>
      </c>
      <c r="F223" s="14">
        <f t="shared" si="25"/>
        <v>193.80370193790324</v>
      </c>
    </row>
    <row r="224" spans="2:6" x14ac:dyDescent="0.35">
      <c r="B224">
        <v>104.5</v>
      </c>
      <c r="C224" s="14">
        <f t="shared" si="22"/>
        <v>2.6125986695847248</v>
      </c>
      <c r="D224" s="14">
        <f t="shared" si="23"/>
        <v>4.1282526384875302</v>
      </c>
      <c r="E224" s="14">
        <f t="shared" si="24"/>
        <v>194.71785712727913</v>
      </c>
      <c r="F224" s="14">
        <f t="shared" si="25"/>
        <v>193.79634695929096</v>
      </c>
    </row>
    <row r="225" spans="2:6" x14ac:dyDescent="0.35">
      <c r="B225">
        <v>104.75</v>
      </c>
      <c r="C225" s="14">
        <f t="shared" si="22"/>
        <v>2.6113473680859496</v>
      </c>
      <c r="D225" s="14">
        <f t="shared" si="23"/>
        <v>4.1211244581388717</v>
      </c>
      <c r="E225" s="14">
        <f t="shared" si="24"/>
        <v>194.70884525631573</v>
      </c>
      <c r="F225" s="14">
        <f t="shared" si="25"/>
        <v>193.7889262435319</v>
      </c>
    </row>
    <row r="226" spans="2:6" x14ac:dyDescent="0.35">
      <c r="B226">
        <v>105</v>
      </c>
      <c r="C226" s="14">
        <f t="shared" si="22"/>
        <v>2.6100989064010167</v>
      </c>
      <c r="D226" s="14">
        <f t="shared" si="23"/>
        <v>4.114026700733306</v>
      </c>
      <c r="E226" s="14">
        <f t="shared" si="24"/>
        <v>194.69977505970124</v>
      </c>
      <c r="F226" s="14">
        <f t="shared" si="25"/>
        <v>193.7814404111005</v>
      </c>
    </row>
    <row r="352" spans="3:6" x14ac:dyDescent="0.35">
      <c r="C352" s="14"/>
      <c r="D352" s="14"/>
      <c r="E352" s="14"/>
      <c r="F352" s="14"/>
    </row>
  </sheetData>
  <dataConsolidate/>
  <mergeCells count="10">
    <mergeCell ref="D12:E12"/>
    <mergeCell ref="Q17:Z19"/>
    <mergeCell ref="J2:M2"/>
    <mergeCell ref="D10:E10"/>
    <mergeCell ref="D11:E11"/>
    <mergeCell ref="J3:P11"/>
    <mergeCell ref="B2:H2"/>
    <mergeCell ref="B4:H5"/>
    <mergeCell ref="B7:F7"/>
    <mergeCell ref="B8:F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379"/>
  <sheetViews>
    <sheetView topLeftCell="A18" zoomScale="85" zoomScaleNormal="85" workbookViewId="0">
      <selection activeCell="J33" sqref="J33"/>
    </sheetView>
  </sheetViews>
  <sheetFormatPr defaultRowHeight="14.5" x14ac:dyDescent="0.35"/>
  <cols>
    <col min="1" max="1" width="2.1796875" customWidth="1"/>
    <col min="2" max="5" width="13.81640625" customWidth="1"/>
    <col min="6" max="6" width="11.1796875" customWidth="1"/>
    <col min="7" max="7" width="12.1796875" customWidth="1"/>
    <col min="8" max="8" width="10.1796875" customWidth="1"/>
    <col min="9" max="9" width="13.81640625" customWidth="1"/>
    <col min="10" max="10" width="39.453125" bestFit="1" customWidth="1"/>
    <col min="11" max="11" width="3.81640625" customWidth="1"/>
    <col min="12" max="12" width="5.453125" customWidth="1"/>
    <col min="13" max="15" width="15.453125" customWidth="1"/>
    <col min="16" max="16" width="14.1796875" customWidth="1"/>
    <col min="17" max="17" width="32.81640625" customWidth="1"/>
    <col min="18" max="18" width="20" customWidth="1"/>
    <col min="19" max="19" width="10.453125" customWidth="1"/>
    <col min="20" max="20" width="10.26953125" customWidth="1"/>
    <col min="21" max="21" width="13.81640625" customWidth="1"/>
    <col min="22" max="22" width="5.81640625" customWidth="1"/>
    <col min="27" max="27" width="4.7265625" customWidth="1"/>
    <col min="28" max="28" width="9.1796875" customWidth="1"/>
    <col min="29" max="29" width="3.54296875" customWidth="1"/>
  </cols>
  <sheetData>
    <row r="1" spans="2:31" ht="11.25" customHeight="1" x14ac:dyDescent="0.35"/>
    <row r="2" spans="2:31" ht="34.5" customHeight="1" thickBot="1" x14ac:dyDescent="0.4">
      <c r="B2" s="159" t="s">
        <v>0</v>
      </c>
      <c r="C2" s="159"/>
      <c r="D2" s="159"/>
      <c r="E2" s="159"/>
      <c r="F2" s="159"/>
      <c r="G2" s="159"/>
      <c r="H2" s="159"/>
      <c r="I2" s="4"/>
      <c r="J2" s="181" t="s">
        <v>3</v>
      </c>
      <c r="K2" s="181"/>
      <c r="L2" s="181"/>
      <c r="M2" s="181"/>
    </row>
    <row r="3" spans="2:31" ht="15" customHeight="1" thickBot="1" x14ac:dyDescent="0.4">
      <c r="B3" s="4"/>
      <c r="C3" s="3"/>
      <c r="D3" s="3"/>
      <c r="E3" s="3"/>
      <c r="F3" s="3"/>
      <c r="G3" s="3"/>
      <c r="H3" s="3"/>
      <c r="I3" s="4"/>
      <c r="J3" s="161"/>
      <c r="K3" s="162"/>
      <c r="L3" s="162"/>
      <c r="M3" s="162"/>
      <c r="N3" s="162"/>
      <c r="O3" s="162"/>
      <c r="P3" s="163"/>
      <c r="Q3" s="4"/>
      <c r="R3" s="4"/>
      <c r="S3" s="4"/>
    </row>
    <row r="4" spans="2:31" ht="40.5" customHeight="1" x14ac:dyDescent="0.35">
      <c r="B4" s="170" t="s">
        <v>286</v>
      </c>
      <c r="C4" s="171"/>
      <c r="D4" s="171"/>
      <c r="E4" s="171"/>
      <c r="F4" s="171"/>
      <c r="G4" s="171"/>
      <c r="H4" s="172"/>
      <c r="J4" s="164"/>
      <c r="K4" s="165"/>
      <c r="L4" s="165"/>
      <c r="M4" s="165"/>
      <c r="N4" s="165"/>
      <c r="O4" s="165"/>
      <c r="P4" s="166"/>
      <c r="R4" s="6"/>
      <c r="S4" s="6"/>
      <c r="T4" s="6"/>
      <c r="U4" s="6"/>
    </row>
    <row r="5" spans="2:31" ht="40.5" customHeight="1" thickBot="1" x14ac:dyDescent="0.4">
      <c r="B5" s="173"/>
      <c r="C5" s="174"/>
      <c r="D5" s="174"/>
      <c r="E5" s="174"/>
      <c r="F5" s="174"/>
      <c r="G5" s="174"/>
      <c r="H5" s="175"/>
      <c r="J5" s="164"/>
      <c r="K5" s="165"/>
      <c r="L5" s="165"/>
      <c r="M5" s="165"/>
      <c r="N5" s="165"/>
      <c r="O5" s="165"/>
      <c r="P5" s="166"/>
      <c r="Q5" s="6"/>
      <c r="R5" s="6"/>
      <c r="S5" s="6"/>
      <c r="T5" s="6"/>
      <c r="U5" s="6"/>
      <c r="V5" s="4"/>
      <c r="W5" s="4"/>
      <c r="X5" s="4"/>
    </row>
    <row r="6" spans="2:31" x14ac:dyDescent="0.35">
      <c r="J6" s="164"/>
      <c r="K6" s="165"/>
      <c r="L6" s="165"/>
      <c r="M6" s="165"/>
      <c r="N6" s="165"/>
      <c r="O6" s="165"/>
      <c r="P6" s="166"/>
      <c r="Q6" s="6"/>
      <c r="R6" s="6"/>
      <c r="S6" s="6"/>
      <c r="T6" s="6"/>
      <c r="U6" s="6"/>
      <c r="V6" s="6"/>
      <c r="W6" s="6"/>
      <c r="X6" s="4"/>
    </row>
    <row r="7" spans="2:31" x14ac:dyDescent="0.35">
      <c r="B7" s="176" t="s">
        <v>225</v>
      </c>
      <c r="C7" s="176"/>
      <c r="D7" s="176"/>
      <c r="E7" s="176"/>
      <c r="F7" s="176"/>
      <c r="G7" s="1"/>
      <c r="H7" s="1"/>
      <c r="J7" s="164"/>
      <c r="K7" s="165"/>
      <c r="L7" s="165"/>
      <c r="M7" s="165"/>
      <c r="N7" s="165"/>
      <c r="O7" s="165"/>
      <c r="P7" s="166"/>
      <c r="Q7" s="6"/>
      <c r="R7" s="6"/>
      <c r="S7" s="6"/>
      <c r="T7" s="6"/>
      <c r="U7" s="104"/>
      <c r="V7" s="6"/>
      <c r="W7" s="6"/>
      <c r="X7" s="4"/>
    </row>
    <row r="8" spans="2:31" x14ac:dyDescent="0.35">
      <c r="B8" s="176" t="s">
        <v>224</v>
      </c>
      <c r="C8" s="176"/>
      <c r="D8" s="176"/>
      <c r="E8" s="176"/>
      <c r="F8" s="176"/>
      <c r="G8" s="1"/>
      <c r="H8" s="1"/>
      <c r="J8" s="164"/>
      <c r="K8" s="165"/>
      <c r="L8" s="165"/>
      <c r="M8" s="165"/>
      <c r="N8" s="165"/>
      <c r="O8" s="165"/>
      <c r="P8" s="166"/>
      <c r="Q8" s="6"/>
      <c r="R8" s="6"/>
      <c r="S8" s="6"/>
      <c r="T8" s="6"/>
      <c r="U8" s="104"/>
      <c r="V8" s="6"/>
      <c r="W8" s="6"/>
      <c r="X8" s="4"/>
    </row>
    <row r="9" spans="2:31" ht="15" customHeight="1" x14ac:dyDescent="0.35">
      <c r="B9" s="5" t="s">
        <v>60</v>
      </c>
      <c r="J9" s="164"/>
      <c r="K9" s="165"/>
      <c r="L9" s="165"/>
      <c r="M9" s="165"/>
      <c r="N9" s="165"/>
      <c r="O9" s="165"/>
      <c r="P9" s="166"/>
      <c r="Q9" s="6"/>
      <c r="R9" s="6"/>
      <c r="S9" s="6"/>
      <c r="T9" s="6"/>
      <c r="U9" s="6"/>
    </row>
    <row r="10" spans="2:31" ht="15" customHeight="1" x14ac:dyDescent="0.35">
      <c r="C10" s="46"/>
      <c r="D10" s="177" t="s">
        <v>152</v>
      </c>
      <c r="E10" s="178"/>
      <c r="F10" s="21"/>
      <c r="G10" s="21"/>
      <c r="H10" s="21"/>
      <c r="J10" s="164"/>
      <c r="K10" s="165"/>
      <c r="L10" s="165"/>
      <c r="M10" s="165"/>
      <c r="N10" s="165"/>
      <c r="O10" s="165"/>
      <c r="P10" s="166"/>
      <c r="Q10" s="6"/>
      <c r="R10" s="6"/>
      <c r="S10" s="6"/>
      <c r="T10" s="6"/>
      <c r="U10" s="6"/>
    </row>
    <row r="11" spans="2:31" ht="15" customHeight="1" thickBot="1" x14ac:dyDescent="0.4">
      <c r="C11" s="48"/>
      <c r="D11" s="179" t="s">
        <v>163</v>
      </c>
      <c r="E11" s="180"/>
      <c r="F11" s="22"/>
      <c r="G11" s="22"/>
      <c r="H11" s="22"/>
      <c r="J11" s="167"/>
      <c r="K11" s="168"/>
      <c r="L11" s="168"/>
      <c r="M11" s="168"/>
      <c r="N11" s="168"/>
      <c r="O11" s="168"/>
      <c r="P11" s="169"/>
      <c r="Q11" s="6"/>
      <c r="R11" s="6"/>
      <c r="S11" s="6"/>
      <c r="T11" s="6"/>
      <c r="U11" s="6"/>
    </row>
    <row r="12" spans="2:31" x14ac:dyDescent="0.35">
      <c r="C12" s="61"/>
      <c r="D12" s="149" t="s">
        <v>158</v>
      </c>
      <c r="E12" s="149"/>
      <c r="J12" s="6"/>
      <c r="K12" s="6"/>
      <c r="L12" s="6"/>
      <c r="M12" s="6"/>
      <c r="N12" s="6"/>
      <c r="O12" s="6"/>
      <c r="P12" s="6"/>
      <c r="Q12" s="6"/>
      <c r="R12" s="6"/>
      <c r="S12" s="6"/>
      <c r="T12" s="6"/>
      <c r="U12" s="6"/>
      <c r="AB12" s="4"/>
      <c r="AC12" s="4"/>
      <c r="AD12" s="4"/>
      <c r="AE12" s="4"/>
    </row>
    <row r="13" spans="2:31" x14ac:dyDescent="0.35">
      <c r="J13" s="6"/>
      <c r="K13" s="6"/>
      <c r="L13" s="6"/>
      <c r="M13" s="6"/>
      <c r="N13" s="6"/>
      <c r="O13" s="6"/>
      <c r="P13" s="6"/>
      <c r="Q13" s="6"/>
      <c r="R13" s="6"/>
      <c r="S13" s="6"/>
      <c r="T13" s="6"/>
      <c r="U13" s="6"/>
      <c r="AB13" s="4"/>
      <c r="AC13" s="4"/>
      <c r="AD13" s="4"/>
      <c r="AE13" s="4"/>
    </row>
    <row r="14" spans="2:31" x14ac:dyDescent="0.35">
      <c r="B14" s="5" t="s">
        <v>65</v>
      </c>
      <c r="M14" s="5" t="s">
        <v>109</v>
      </c>
      <c r="AB14" s="4"/>
      <c r="AC14" s="4"/>
      <c r="AD14" s="4"/>
      <c r="AE14" s="4"/>
    </row>
    <row r="15" spans="2:31" ht="15" thickBot="1" x14ac:dyDescent="0.4">
      <c r="AB15" s="4"/>
      <c r="AC15" s="4"/>
      <c r="AD15" s="4"/>
      <c r="AE15" s="4"/>
    </row>
    <row r="16" spans="2:31" ht="18" customHeight="1" x14ac:dyDescent="0.35">
      <c r="B16" s="36"/>
      <c r="C16" s="23"/>
      <c r="D16" s="23"/>
      <c r="E16" s="23"/>
      <c r="F16" s="23"/>
      <c r="G16" s="23"/>
      <c r="H16" s="23"/>
      <c r="I16" s="23"/>
      <c r="J16" s="23"/>
      <c r="K16" s="24"/>
      <c r="M16" s="36"/>
      <c r="N16" s="23"/>
      <c r="O16" s="23"/>
      <c r="P16" s="23"/>
      <c r="Q16" s="23"/>
      <c r="R16" s="23"/>
      <c r="S16" s="23"/>
      <c r="T16" s="23"/>
      <c r="U16" s="23"/>
      <c r="V16" s="23"/>
      <c r="W16" s="23"/>
      <c r="X16" s="23"/>
      <c r="Y16" s="23"/>
      <c r="Z16" s="23"/>
      <c r="AA16" s="24"/>
      <c r="AB16" s="4"/>
      <c r="AC16" s="4"/>
      <c r="AD16" s="4"/>
      <c r="AE16" s="4"/>
    </row>
    <row r="17" spans="2:31" ht="19.5" customHeight="1" x14ac:dyDescent="0.35">
      <c r="B17" s="29" t="s">
        <v>11</v>
      </c>
      <c r="C17" s="4"/>
      <c r="D17" s="4"/>
      <c r="E17" s="4"/>
      <c r="F17" s="4"/>
      <c r="G17" s="4"/>
      <c r="H17" s="4"/>
      <c r="I17" s="4"/>
      <c r="J17" s="4"/>
      <c r="K17" s="26"/>
      <c r="M17" s="29" t="s">
        <v>98</v>
      </c>
      <c r="N17" s="4"/>
      <c r="O17" s="4"/>
      <c r="P17" s="4"/>
      <c r="Q17" s="150" t="s">
        <v>284</v>
      </c>
      <c r="R17" s="151"/>
      <c r="S17" s="151"/>
      <c r="T17" s="151"/>
      <c r="U17" s="151"/>
      <c r="V17" s="151"/>
      <c r="W17" s="151"/>
      <c r="X17" s="151"/>
      <c r="Y17" s="151"/>
      <c r="Z17" s="152"/>
      <c r="AA17" s="26"/>
      <c r="AB17" s="4"/>
      <c r="AC17" s="4"/>
      <c r="AD17" s="4"/>
      <c r="AE17" s="4"/>
    </row>
    <row r="18" spans="2:31" ht="18" customHeight="1" x14ac:dyDescent="0.35">
      <c r="B18" s="25"/>
      <c r="C18" s="4"/>
      <c r="D18" s="4" t="s">
        <v>279</v>
      </c>
      <c r="E18" s="4"/>
      <c r="F18" s="4"/>
      <c r="G18" s="30" t="s">
        <v>12</v>
      </c>
      <c r="H18" s="4"/>
      <c r="I18" s="4"/>
      <c r="J18" s="4"/>
      <c r="K18" s="26"/>
      <c r="M18" s="142" t="s">
        <v>274</v>
      </c>
      <c r="N18" s="130">
        <f>$C$37*$C$39/9.81*($C$33*SQRT(2/($C$33-1)*(2/($C$33+1))^(($C$33+1)/($C$33-1))*(1 - (C28/$H$20)^(($C$33-1)/$C$33))) + N38/$H$20*(C28 - $C$27))</f>
        <v>187.86865693712954</v>
      </c>
      <c r="O18" s="27" t="s">
        <v>275</v>
      </c>
      <c r="P18" s="4"/>
      <c r="Q18" s="153"/>
      <c r="R18" s="154"/>
      <c r="S18" s="154"/>
      <c r="T18" s="154"/>
      <c r="U18" s="154"/>
      <c r="V18" s="154"/>
      <c r="W18" s="154"/>
      <c r="X18" s="154"/>
      <c r="Y18" s="154"/>
      <c r="Z18" s="155"/>
      <c r="AA18" s="26"/>
      <c r="AB18" s="4"/>
      <c r="AC18" s="4"/>
      <c r="AD18" s="4"/>
      <c r="AE18" s="4"/>
    </row>
    <row r="19" spans="2:31" ht="18" customHeight="1" x14ac:dyDescent="0.35">
      <c r="B19" s="142" t="s">
        <v>4</v>
      </c>
      <c r="C19" s="51">
        <f>CONVERT(D19, "ft", "m")</f>
        <v>19812</v>
      </c>
      <c r="D19">
        <v>65000</v>
      </c>
      <c r="E19" s="27" t="s">
        <v>25</v>
      </c>
      <c r="F19" s="4"/>
      <c r="G19" s="4"/>
      <c r="H19" s="4"/>
      <c r="I19" s="128" t="s">
        <v>232</v>
      </c>
      <c r="J19" s="4"/>
      <c r="K19" s="26"/>
      <c r="M19" s="142" t="s">
        <v>273</v>
      </c>
      <c r="N19" s="130">
        <f>$C$36*$C$39/9.81*($C$33*SQRT(2/($C$33-1)*(2/($C$33+1))^(($C$33+1)/($C$33-1))*(1 - (C28/$H$20)^(($C$33-1)/$C$33))) + N38/$H$20*(C28 - $C$28))</f>
        <v>191.00989797045136</v>
      </c>
      <c r="O19" s="27" t="s">
        <v>275</v>
      </c>
      <c r="P19" s="4"/>
      <c r="Q19" s="156"/>
      <c r="R19" s="157"/>
      <c r="S19" s="157"/>
      <c r="T19" s="157"/>
      <c r="U19" s="157"/>
      <c r="V19" s="157"/>
      <c r="W19" s="157"/>
      <c r="X19" s="157"/>
      <c r="Y19" s="157"/>
      <c r="Z19" s="158"/>
      <c r="AA19" s="26"/>
      <c r="AB19" s="4"/>
      <c r="AC19" s="4"/>
      <c r="AD19" s="4"/>
      <c r="AE19" s="4"/>
    </row>
    <row r="20" spans="2:31" ht="18" customHeight="1" x14ac:dyDescent="0.45">
      <c r="B20" s="142" t="s">
        <v>13</v>
      </c>
      <c r="C20" s="53">
        <v>406.4828</v>
      </c>
      <c r="D20" s="27" t="s">
        <v>26</v>
      </c>
      <c r="E20" s="4"/>
      <c r="F20" s="4"/>
      <c r="G20" s="65" t="s">
        <v>6</v>
      </c>
      <c r="H20" s="13">
        <f>CONVERT(I20,"psi","Pa")/1000</f>
        <v>3102.6407819257624</v>
      </c>
      <c r="I20">
        <v>450</v>
      </c>
      <c r="J20" s="27" t="s">
        <v>30</v>
      </c>
      <c r="K20" s="26"/>
      <c r="M20" s="25"/>
      <c r="N20" s="4"/>
      <c r="O20" s="4"/>
      <c r="P20" s="4"/>
      <c r="Q20" s="4"/>
      <c r="R20" s="4"/>
      <c r="S20" s="4"/>
      <c r="T20" s="4"/>
      <c r="U20" s="4"/>
      <c r="V20" s="4"/>
      <c r="W20" s="4"/>
      <c r="X20" s="4"/>
      <c r="Y20" s="4"/>
      <c r="Z20" s="4"/>
      <c r="AA20" s="26"/>
      <c r="AB20" s="4"/>
      <c r="AC20" s="4"/>
      <c r="AD20" s="4"/>
      <c r="AE20" s="4"/>
    </row>
    <row r="21" spans="2:31" ht="18" customHeight="1" x14ac:dyDescent="0.45">
      <c r="B21" s="142" t="s">
        <v>17</v>
      </c>
      <c r="C21" s="53">
        <v>2773.5682000000002</v>
      </c>
      <c r="D21" s="27" t="s">
        <v>27</v>
      </c>
      <c r="E21" s="4"/>
      <c r="F21" s="4"/>
      <c r="G21" s="144" t="s">
        <v>229</v>
      </c>
      <c r="H21" s="14">
        <f>H24-H20-H23-H22</f>
        <v>2413.1635271842251</v>
      </c>
      <c r="I21" s="18">
        <f t="shared" ref="I21:I23" si="0">CONVERT(H21*1000, "Pa", "psi")</f>
        <v>349.99977875585222</v>
      </c>
      <c r="J21" s="27" t="s">
        <v>271</v>
      </c>
      <c r="K21" s="26"/>
      <c r="M21" s="29" t="s">
        <v>66</v>
      </c>
      <c r="N21" s="4"/>
      <c r="O21" s="4"/>
      <c r="P21" s="4"/>
      <c r="Q21" s="30" t="s">
        <v>149</v>
      </c>
      <c r="R21" s="4"/>
      <c r="S21" s="4"/>
      <c r="T21" s="4"/>
      <c r="U21" s="4"/>
      <c r="V21" s="4"/>
      <c r="W21" s="4"/>
      <c r="X21" s="27"/>
      <c r="Y21" s="4"/>
      <c r="Z21" s="4"/>
      <c r="AA21" s="26"/>
      <c r="AB21" s="4"/>
      <c r="AC21" s="4"/>
      <c r="AD21" s="4"/>
      <c r="AE21" s="4"/>
    </row>
    <row r="22" spans="2:31" ht="18" customHeight="1" x14ac:dyDescent="0.45">
      <c r="B22" s="143" t="s">
        <v>23</v>
      </c>
      <c r="C22" s="130">
        <f>SQRT(2*9.81*(C19 - C21)) + C20</f>
        <v>984.66445996164214</v>
      </c>
      <c r="D22" s="27" t="s">
        <v>28</v>
      </c>
      <c r="E22" s="4"/>
      <c r="F22" s="4"/>
      <c r="G22" s="144" t="s">
        <v>228</v>
      </c>
      <c r="H22">
        <v>0</v>
      </c>
      <c r="I22" s="18">
        <f t="shared" si="0"/>
        <v>0</v>
      </c>
      <c r="J22" s="11" t="s">
        <v>230</v>
      </c>
      <c r="K22" s="26"/>
      <c r="M22" s="25"/>
      <c r="N22" s="4"/>
      <c r="P22" s="4"/>
      <c r="Q22" s="4"/>
      <c r="R22" s="4"/>
      <c r="S22" s="4"/>
      <c r="T22" s="4"/>
      <c r="U22" s="4"/>
      <c r="V22" s="4"/>
      <c r="W22" s="4"/>
      <c r="X22" s="4"/>
      <c r="Y22" s="4"/>
      <c r="Z22" s="4"/>
      <c r="AA22" s="26"/>
      <c r="AB22" s="4"/>
      <c r="AC22" s="4"/>
      <c r="AD22" s="4"/>
      <c r="AE22" s="4"/>
    </row>
    <row r="23" spans="2:31" ht="18" customHeight="1" x14ac:dyDescent="0.45">
      <c r="B23" s="25"/>
      <c r="C23" s="4"/>
      <c r="D23" s="4"/>
      <c r="E23" s="4"/>
      <c r="F23" s="4"/>
      <c r="G23" s="144" t="s">
        <v>227</v>
      </c>
      <c r="H23" s="112">
        <f>0.5*H20/C38/C35*1^2</f>
        <v>1.5254247025087578E-3</v>
      </c>
      <c r="I23" s="18">
        <f t="shared" si="0"/>
        <v>2.2124414792964761E-4</v>
      </c>
      <c r="J23" s="11" t="s">
        <v>231</v>
      </c>
      <c r="K23" s="26"/>
      <c r="M23" s="142" t="s">
        <v>67</v>
      </c>
      <c r="N23" s="12">
        <f>CONVERT(88, "lbm", "kg")</f>
        <v>39.916128560000004</v>
      </c>
      <c r="O23" s="27" t="s">
        <v>189</v>
      </c>
      <c r="P23" s="4"/>
      <c r="Q23" s="4"/>
      <c r="R23" s="37" t="s">
        <v>96</v>
      </c>
      <c r="S23" s="37"/>
      <c r="T23" s="37"/>
      <c r="U23" s="37"/>
      <c r="V23" s="37"/>
      <c r="W23" s="37"/>
      <c r="X23" s="37"/>
      <c r="Y23" s="37"/>
      <c r="Z23" s="37"/>
      <c r="AA23" s="26"/>
      <c r="AB23" s="4"/>
      <c r="AC23" s="4"/>
      <c r="AD23" s="4"/>
      <c r="AE23" s="4"/>
    </row>
    <row r="24" spans="2:31" ht="18" customHeight="1" x14ac:dyDescent="0.45">
      <c r="B24" s="29" t="s">
        <v>14</v>
      </c>
      <c r="C24" s="4"/>
      <c r="D24" s="4"/>
      <c r="E24" s="4"/>
      <c r="F24" s="4"/>
      <c r="G24" s="65" t="s">
        <v>10</v>
      </c>
      <c r="H24" s="148">
        <f>CONVERT(I24,"psi","Pa")/1000</f>
        <v>5515.8058345346899</v>
      </c>
      <c r="I24" s="18">
        <v>800</v>
      </c>
      <c r="J24" s="27" t="s">
        <v>35</v>
      </c>
      <c r="K24" s="26"/>
      <c r="M24" s="142" t="s">
        <v>68</v>
      </c>
      <c r="N24" s="14">
        <f>N23*EXP(C22/N19/9.81)</f>
        <v>67.509556700181577</v>
      </c>
      <c r="O24" s="27" t="s">
        <v>87</v>
      </c>
      <c r="P24" s="4"/>
      <c r="Q24" s="65" t="s">
        <v>77</v>
      </c>
      <c r="R24" s="134">
        <v>622.99744591831836</v>
      </c>
      <c r="S24" s="27" t="s">
        <v>78</v>
      </c>
      <c r="T24" s="27"/>
      <c r="U24" s="27"/>
      <c r="V24" s="27"/>
      <c r="W24" s="27"/>
      <c r="X24" s="4"/>
      <c r="Y24" s="4"/>
      <c r="Z24" s="4"/>
      <c r="AA24" s="26"/>
      <c r="AB24" s="4"/>
      <c r="AC24" s="4"/>
      <c r="AD24" s="4"/>
      <c r="AE24" s="4"/>
    </row>
    <row r="25" spans="2:31" ht="18" customHeight="1" x14ac:dyDescent="0.45">
      <c r="B25" s="25"/>
      <c r="C25" s="4"/>
      <c r="D25" s="4"/>
      <c r="E25" s="4"/>
      <c r="F25" s="4"/>
      <c r="G25" s="145" t="s">
        <v>7</v>
      </c>
      <c r="H25" s="52">
        <v>6500</v>
      </c>
      <c r="J25" s="27" t="s">
        <v>31</v>
      </c>
      <c r="K25" s="26"/>
      <c r="M25" s="142" t="s">
        <v>69</v>
      </c>
      <c r="N25" s="45">
        <f>(N24-N23)</f>
        <v>27.593428140181572</v>
      </c>
      <c r="O25" s="27" t="s">
        <v>88</v>
      </c>
      <c r="P25" s="4"/>
      <c r="Q25" s="65" t="s">
        <v>79</v>
      </c>
      <c r="R25" s="43">
        <v>1</v>
      </c>
      <c r="S25" s="4"/>
      <c r="T25" s="4"/>
      <c r="U25" s="4"/>
      <c r="V25" s="4"/>
      <c r="W25" s="4"/>
      <c r="X25" s="4"/>
      <c r="Y25" s="4"/>
      <c r="Z25" s="4"/>
      <c r="AA25" s="26"/>
      <c r="AB25" s="4"/>
      <c r="AC25" s="4"/>
      <c r="AD25" s="4"/>
      <c r="AE25" s="4"/>
    </row>
    <row r="26" spans="2:31" ht="18" customHeight="1" x14ac:dyDescent="0.45">
      <c r="B26" s="142" t="s">
        <v>15</v>
      </c>
      <c r="C26" s="9">
        <v>541</v>
      </c>
      <c r="D26" s="44" t="s">
        <v>283</v>
      </c>
      <c r="E26" s="10"/>
      <c r="F26" s="4"/>
      <c r="K26" s="26"/>
      <c r="M26" s="142" t="s">
        <v>70</v>
      </c>
      <c r="N26" s="47">
        <f>N25/(1+C32)</f>
        <v>5.0169869345784681</v>
      </c>
      <c r="O26" s="27" t="s">
        <v>184</v>
      </c>
      <c r="P26" s="4"/>
      <c r="Q26" s="65" t="s">
        <v>80</v>
      </c>
      <c r="R26" s="112">
        <f>N31/R25/R24</f>
        <v>4.5556676636455415E-3</v>
      </c>
      <c r="S26" s="38">
        <f>R26*100^2</f>
        <v>45.556676636455414</v>
      </c>
      <c r="T26" s="39" t="s">
        <v>164</v>
      </c>
      <c r="U26" s="4"/>
      <c r="V26" s="4"/>
      <c r="W26" s="4"/>
      <c r="X26" s="4"/>
      <c r="Y26" s="4"/>
      <c r="Z26" s="4"/>
      <c r="AA26" s="26"/>
      <c r="AB26" s="4"/>
      <c r="AC26" s="4"/>
      <c r="AD26" s="4"/>
      <c r="AE26" s="4"/>
    </row>
    <row r="27" spans="2:31" ht="18" customHeight="1" x14ac:dyDescent="0.45">
      <c r="B27" s="142" t="s">
        <v>16</v>
      </c>
      <c r="C27" s="14">
        <f>101.325*(1 - 0.0065*C26/288.16)^(-9.81/-0.0065/287)</f>
        <v>94.989432044484744</v>
      </c>
      <c r="D27" s="27" t="s">
        <v>33</v>
      </c>
      <c r="E27" s="4"/>
      <c r="F27" s="4"/>
      <c r="G27" s="30" t="s">
        <v>55</v>
      </c>
      <c r="H27" s="4"/>
      <c r="I27" s="4"/>
      <c r="J27" s="4"/>
      <c r="K27" s="26"/>
      <c r="M27" s="142" t="s">
        <v>71</v>
      </c>
      <c r="N27" s="54">
        <f>N25-N26</f>
        <v>22.576441205603103</v>
      </c>
      <c r="O27" s="27" t="s">
        <v>90</v>
      </c>
      <c r="P27" s="4"/>
      <c r="Q27" s="65" t="s">
        <v>82</v>
      </c>
      <c r="R27" s="132">
        <f>2*SQRT(R26/PI())</f>
        <v>7.6160726244073801E-2</v>
      </c>
      <c r="S27" s="38">
        <f>R27*100</f>
        <v>7.61607262440738</v>
      </c>
      <c r="T27" s="39" t="s">
        <v>83</v>
      </c>
      <c r="U27" s="40">
        <f>CONVERT(R27, "m", "in")</f>
        <v>2.9984537891367635</v>
      </c>
      <c r="V27" s="4" t="s">
        <v>81</v>
      </c>
      <c r="W27" s="4"/>
      <c r="X27" s="4"/>
      <c r="Y27" s="4"/>
      <c r="Z27" s="4"/>
      <c r="AA27" s="26"/>
      <c r="AB27" s="4"/>
      <c r="AC27" s="4"/>
      <c r="AD27" s="4"/>
      <c r="AE27" s="4"/>
    </row>
    <row r="28" spans="2:31" ht="18" customHeight="1" x14ac:dyDescent="0.45">
      <c r="B28" s="142" t="s">
        <v>16</v>
      </c>
      <c r="C28" s="14">
        <f>101.325*(1 - 0.0065*2/3*(C21)/288.16)^(-9.81/-0.0065/287)</f>
        <v>80.987623886493736</v>
      </c>
      <c r="D28" s="27" t="s">
        <v>34</v>
      </c>
      <c r="E28" s="4"/>
      <c r="F28" s="4"/>
      <c r="G28" s="4"/>
      <c r="H28" s="4"/>
      <c r="I28" s="4"/>
      <c r="J28" s="4"/>
      <c r="K28" s="26"/>
      <c r="M28" s="142" t="s">
        <v>72</v>
      </c>
      <c r="N28" s="45">
        <f>N23/N24</f>
        <v>0.59126634081264295</v>
      </c>
      <c r="O28" s="27" t="s">
        <v>91</v>
      </c>
      <c r="P28" s="4"/>
      <c r="Q28" s="65" t="s">
        <v>84</v>
      </c>
      <c r="R28" s="49">
        <f>(N30/((H29*H30*R24^H31)*PI()*R27))^(1/(0+1))</f>
        <v>0.71721010727924761</v>
      </c>
      <c r="S28" s="38">
        <f>R28*100</f>
        <v>71.721010727924764</v>
      </c>
      <c r="T28" s="39" t="s">
        <v>83</v>
      </c>
      <c r="U28" s="62">
        <f>CONVERT(R28, "m", "in")</f>
        <v>28.23661839682077</v>
      </c>
      <c r="V28" s="4" t="s">
        <v>81</v>
      </c>
      <c r="W28" s="10" t="s">
        <v>237</v>
      </c>
      <c r="X28" s="4"/>
      <c r="Y28" s="4"/>
      <c r="Z28" s="4"/>
      <c r="AA28" s="26"/>
      <c r="AB28" s="4"/>
      <c r="AC28" s="4"/>
      <c r="AD28" s="4"/>
      <c r="AE28" s="4"/>
    </row>
    <row r="29" spans="2:31" ht="18" customHeight="1" x14ac:dyDescent="0.45">
      <c r="B29" s="25"/>
      <c r="C29" s="4"/>
      <c r="D29" s="4"/>
      <c r="E29" s="4"/>
      <c r="F29" s="4"/>
      <c r="G29" s="65" t="s">
        <v>50</v>
      </c>
      <c r="H29" s="9">
        <v>950</v>
      </c>
      <c r="I29" s="27" t="s">
        <v>51</v>
      </c>
      <c r="J29" s="4"/>
      <c r="K29" s="26"/>
      <c r="M29" s="142" t="s">
        <v>73</v>
      </c>
      <c r="N29" s="47">
        <f>H25/N19/9.81</f>
        <v>3.4688736119935886</v>
      </c>
      <c r="O29" s="27" t="s">
        <v>92</v>
      </c>
      <c r="P29" s="4"/>
      <c r="Q29" s="65" t="s">
        <v>85</v>
      </c>
      <c r="R29" s="59">
        <f>SQRT(4*N26/PI()/R28/H29/R25 + R27^2)</f>
        <v>0.12318973606976866</v>
      </c>
      <c r="S29" s="38">
        <f t="shared" ref="S29:S30" si="1">R29*100</f>
        <v>12.318973606976865</v>
      </c>
      <c r="T29" s="39" t="s">
        <v>83</v>
      </c>
      <c r="U29" s="133">
        <f>CONVERT(R29, "m", "in")</f>
        <v>4.8499896090460108</v>
      </c>
      <c r="V29" s="4" t="s">
        <v>81</v>
      </c>
      <c r="W29" s="27" t="s">
        <v>276</v>
      </c>
      <c r="X29" s="4"/>
      <c r="Y29" s="4"/>
      <c r="Z29" s="4"/>
      <c r="AA29" s="26"/>
      <c r="AB29" s="4"/>
      <c r="AC29" s="4"/>
      <c r="AD29" s="4"/>
      <c r="AE29" s="4"/>
    </row>
    <row r="30" spans="2:31" ht="18" customHeight="1" x14ac:dyDescent="0.45">
      <c r="B30" s="29" t="s">
        <v>24</v>
      </c>
      <c r="C30" s="4"/>
      <c r="D30" s="4"/>
      <c r="E30" s="4"/>
      <c r="F30" s="4"/>
      <c r="G30" s="65" t="s">
        <v>54</v>
      </c>
      <c r="H30" s="9">
        <v>1.55E-4</v>
      </c>
      <c r="I30" s="27" t="s">
        <v>56</v>
      </c>
      <c r="J30" s="4"/>
      <c r="K30" s="26"/>
      <c r="M30" s="142" t="s">
        <v>74</v>
      </c>
      <c r="N30" s="45">
        <f>N29/(1 + C32)</f>
        <v>0.63070429308974341</v>
      </c>
      <c r="O30" s="27" t="s">
        <v>93</v>
      </c>
      <c r="P30" s="4"/>
      <c r="Q30" s="65" t="s">
        <v>86</v>
      </c>
      <c r="R30" s="59">
        <f>(R29-R27)/2</f>
        <v>2.3514504912847428E-2</v>
      </c>
      <c r="S30" s="38">
        <f t="shared" si="1"/>
        <v>2.3514504912847429</v>
      </c>
      <c r="T30" s="39" t="s">
        <v>83</v>
      </c>
      <c r="U30" s="41">
        <f t="shared" ref="U30" si="2">CONVERT(R30, "m", "in")</f>
        <v>0.92576790995462321</v>
      </c>
      <c r="V30" s="4" t="s">
        <v>81</v>
      </c>
      <c r="W30" s="4"/>
      <c r="X30" s="4"/>
      <c r="Y30" s="4"/>
      <c r="Z30" s="4"/>
      <c r="AA30" s="26"/>
      <c r="AB30" s="4"/>
      <c r="AC30" s="4"/>
      <c r="AD30" s="4"/>
      <c r="AE30" s="4"/>
    </row>
    <row r="31" spans="2:31" ht="18" customHeight="1" x14ac:dyDescent="0.45">
      <c r="B31" s="25"/>
      <c r="C31" s="4"/>
      <c r="D31" s="4"/>
      <c r="E31" s="4"/>
      <c r="F31" s="4"/>
      <c r="G31" s="65" t="s">
        <v>53</v>
      </c>
      <c r="H31" s="9">
        <v>0.5</v>
      </c>
      <c r="I31" s="27" t="s">
        <v>57</v>
      </c>
      <c r="J31" s="4"/>
      <c r="K31" s="26"/>
      <c r="M31" s="142" t="s">
        <v>75</v>
      </c>
      <c r="N31" s="54">
        <f>N29-N30</f>
        <v>2.8381693189038453</v>
      </c>
      <c r="O31" s="27" t="s">
        <v>94</v>
      </c>
      <c r="P31" s="4"/>
      <c r="Q31" s="15" t="s">
        <v>236</v>
      </c>
      <c r="R31" s="4">
        <v>0</v>
      </c>
      <c r="S31" s="4"/>
      <c r="T31" s="4"/>
      <c r="U31" s="4"/>
      <c r="V31" s="4"/>
      <c r="W31" s="4"/>
      <c r="X31" s="4"/>
      <c r="Y31" s="4"/>
      <c r="Z31" s="4"/>
      <c r="AA31" s="26"/>
      <c r="AB31" s="4"/>
      <c r="AC31" s="4"/>
      <c r="AD31" s="4"/>
      <c r="AE31" s="4"/>
    </row>
    <row r="32" spans="2:31" ht="18" customHeight="1" x14ac:dyDescent="0.35">
      <c r="B32" s="142" t="s">
        <v>5</v>
      </c>
      <c r="C32" s="63">
        <v>4.5</v>
      </c>
      <c r="D32" s="27" t="s">
        <v>32</v>
      </c>
      <c r="E32" s="4"/>
      <c r="F32" s="4"/>
      <c r="G32" s="4"/>
      <c r="H32" s="4"/>
      <c r="I32" s="4"/>
      <c r="J32" s="4"/>
      <c r="K32" s="26"/>
      <c r="M32" s="25"/>
      <c r="N32" s="4"/>
      <c r="O32" s="4"/>
      <c r="P32" s="4"/>
      <c r="Q32" s="4"/>
      <c r="R32" s="4"/>
      <c r="S32" s="146"/>
      <c r="T32" s="4"/>
      <c r="U32" s="4"/>
      <c r="V32" s="4"/>
      <c r="W32" s="4"/>
      <c r="X32" s="4"/>
      <c r="Y32" s="4"/>
      <c r="Z32" s="4"/>
      <c r="AA32" s="26"/>
      <c r="AB32" s="4"/>
      <c r="AC32" s="4"/>
      <c r="AD32" s="4"/>
      <c r="AE32" s="4"/>
    </row>
    <row r="33" spans="2:31" ht="18" customHeight="1" x14ac:dyDescent="0.35">
      <c r="B33" s="143" t="s">
        <v>18</v>
      </c>
      <c r="C33" s="43">
        <v>1.2343</v>
      </c>
      <c r="D33" s="27" t="s">
        <v>40</v>
      </c>
      <c r="E33" s="4"/>
      <c r="F33" s="4"/>
      <c r="G33" s="30" t="s">
        <v>287</v>
      </c>
      <c r="H33" s="4"/>
      <c r="I33" s="4"/>
      <c r="K33" s="26"/>
      <c r="M33" s="29" t="s">
        <v>97</v>
      </c>
      <c r="N33" s="4"/>
      <c r="O33" s="4"/>
      <c r="P33" s="4"/>
      <c r="R33" s="29" t="s">
        <v>262</v>
      </c>
      <c r="U33" s="4"/>
      <c r="V33" s="4"/>
      <c r="W33" s="4"/>
      <c r="X33" s="4"/>
      <c r="Y33" s="4"/>
      <c r="Z33" s="4"/>
      <c r="AA33" s="26"/>
      <c r="AB33" s="4"/>
      <c r="AC33" s="4"/>
      <c r="AD33" s="4"/>
      <c r="AE33" s="4"/>
    </row>
    <row r="34" spans="2:31" ht="18" customHeight="1" x14ac:dyDescent="0.35">
      <c r="B34" s="143" t="s">
        <v>19</v>
      </c>
      <c r="C34" s="9">
        <v>23.103000000000002</v>
      </c>
      <c r="D34" s="27" t="s">
        <v>39</v>
      </c>
      <c r="E34" s="4"/>
      <c r="F34" s="4"/>
      <c r="G34" s="65" t="s">
        <v>50</v>
      </c>
      <c r="H34" s="52">
        <f>[1]!PropsSI("Dmass","T",'Import Data_Recordbreaker'!B5,"P",H24*1000,"HEOS::NitrousOxide")</f>
        <v>759.83154133626113</v>
      </c>
      <c r="I34" s="27" t="s">
        <v>285</v>
      </c>
      <c r="K34" s="26"/>
      <c r="L34" s="11"/>
      <c r="M34" s="25"/>
      <c r="N34" s="4" t="s">
        <v>264</v>
      </c>
      <c r="O34" s="141" t="s">
        <v>263</v>
      </c>
      <c r="P34" s="4"/>
      <c r="R34" t="s">
        <v>280</v>
      </c>
      <c r="U34" s="4"/>
      <c r="V34" s="4"/>
      <c r="W34" s="4"/>
      <c r="X34" s="4"/>
      <c r="Y34" s="4"/>
      <c r="Z34" s="4"/>
      <c r="AA34" s="26"/>
      <c r="AB34" s="4"/>
      <c r="AC34" s="4"/>
      <c r="AD34" s="4"/>
      <c r="AE34" s="4"/>
    </row>
    <row r="35" spans="2:31" ht="18" customHeight="1" x14ac:dyDescent="0.45">
      <c r="B35" s="143" t="s">
        <v>20</v>
      </c>
      <c r="C35" s="12">
        <v>2825.98</v>
      </c>
      <c r="D35" s="27" t="s">
        <v>38</v>
      </c>
      <c r="E35" s="4"/>
      <c r="F35" s="4"/>
      <c r="H35" t="str">
        <f>[1]!PhaseSI("T",'Import Data_Recordbreaker'!B5,"P",Recordbreaker!H24*1000,"NitrousOxide")</f>
        <v>liquid</v>
      </c>
      <c r="K35" s="32"/>
      <c r="M35" s="142" t="s">
        <v>99</v>
      </c>
      <c r="N35" s="112">
        <f>N29*C39/(H20*1000)</f>
        <v>1.5489650980400821E-3</v>
      </c>
      <c r="O35" s="112">
        <f>PI()*O39^2/4</f>
        <v>1.0653524748024891E-3</v>
      </c>
      <c r="P35" s="27" t="s">
        <v>104</v>
      </c>
      <c r="Q35" s="4"/>
      <c r="R35" s="4" t="s">
        <v>259</v>
      </c>
      <c r="S35" s="140">
        <v>1.060287521E-4</v>
      </c>
      <c r="V35" s="4"/>
      <c r="W35" s="4"/>
      <c r="X35" s="4"/>
      <c r="Y35" s="4"/>
      <c r="Z35" s="4"/>
      <c r="AA35" s="26"/>
      <c r="AB35" s="4"/>
      <c r="AC35" s="4"/>
      <c r="AD35" s="4"/>
      <c r="AE35" s="4"/>
    </row>
    <row r="36" spans="2:31" ht="18" customHeight="1" x14ac:dyDescent="0.45">
      <c r="B36" s="143" t="s">
        <v>8</v>
      </c>
      <c r="C36" s="58">
        <v>0.9</v>
      </c>
      <c r="D36" s="27" t="s">
        <v>36</v>
      </c>
      <c r="E36" s="4"/>
      <c r="F36" s="4"/>
      <c r="G36" s="30" t="s">
        <v>61</v>
      </c>
      <c r="H36" s="4"/>
      <c r="I36" s="4"/>
      <c r="J36" s="4"/>
      <c r="K36" s="26"/>
      <c r="M36" s="142" t="s">
        <v>100</v>
      </c>
      <c r="N36" s="59">
        <f>N35*N38</f>
        <v>8.4826610442231901E-3</v>
      </c>
      <c r="O36" s="59">
        <f>PI()*O40^2/4</f>
        <v>5.4347544054950984E-3</v>
      </c>
      <c r="P36" s="27" t="s">
        <v>105</v>
      </c>
      <c r="Q36" s="10" t="s">
        <v>233</v>
      </c>
      <c r="R36" t="s">
        <v>260</v>
      </c>
      <c r="S36" s="12">
        <v>0.42</v>
      </c>
      <c r="T36" t="s">
        <v>281</v>
      </c>
      <c r="V36" s="4"/>
      <c r="W36" s="4"/>
      <c r="X36" s="4"/>
      <c r="Y36" s="4"/>
      <c r="Z36" s="4"/>
      <c r="AA36" s="26"/>
      <c r="AB36" s="4"/>
      <c r="AC36" s="4"/>
      <c r="AD36" s="4"/>
      <c r="AE36" s="4"/>
    </row>
    <row r="37" spans="2:31" ht="18" customHeight="1" x14ac:dyDescent="0.45">
      <c r="B37" s="143" t="s">
        <v>9</v>
      </c>
      <c r="C37" s="58">
        <v>0.9</v>
      </c>
      <c r="D37" s="27" t="s">
        <v>37</v>
      </c>
      <c r="E37" s="4"/>
      <c r="F37" s="4"/>
      <c r="G37" s="65" t="s">
        <v>278</v>
      </c>
      <c r="H37" s="4"/>
      <c r="J37" s="4"/>
      <c r="K37" s="26"/>
      <c r="M37" s="142" t="s">
        <v>46</v>
      </c>
      <c r="N37" s="59">
        <f>SQRT(2/($C$33-1)*((C28/$H$20)^((1-$C$33)/$C$33) - 1))</f>
        <v>2.9184326388987065</v>
      </c>
      <c r="O37" s="59"/>
      <c r="P37" s="27"/>
      <c r="Q37" s="10"/>
      <c r="V37" s="4"/>
      <c r="W37" s="4"/>
      <c r="X37" s="4"/>
      <c r="Y37" s="4"/>
      <c r="Z37" s="4"/>
      <c r="AA37" s="26"/>
      <c r="AB37" s="4"/>
      <c r="AC37" s="4"/>
      <c r="AD37" s="4"/>
      <c r="AE37" s="4"/>
    </row>
    <row r="38" spans="2:31" ht="18" customHeight="1" x14ac:dyDescent="0.35">
      <c r="B38" s="142" t="s">
        <v>22</v>
      </c>
      <c r="C38" s="129">
        <f>8314/C34</f>
        <v>359.86668398043543</v>
      </c>
      <c r="D38" s="27" t="s">
        <v>41</v>
      </c>
      <c r="E38" s="4"/>
      <c r="F38" s="4"/>
      <c r="G38" s="65" t="s">
        <v>62</v>
      </c>
      <c r="H38" s="9">
        <v>5.5</v>
      </c>
      <c r="I38" s="27" t="s">
        <v>63</v>
      </c>
      <c r="J38" s="4"/>
      <c r="K38" s="26"/>
      <c r="M38" s="143" t="s">
        <v>47</v>
      </c>
      <c r="N38" s="45">
        <f>1/N37*(2/($C$33+1)*(1 + ($C$33-1)/2*N37^2))^(($C$33+1)/(2*$C$33-2))</f>
        <v>5.4763409807983203</v>
      </c>
      <c r="O38" s="45">
        <f>O36/O35</f>
        <v>5.1013674197384056</v>
      </c>
      <c r="P38" s="27" t="s">
        <v>106</v>
      </c>
      <c r="V38" s="4"/>
      <c r="W38" s="4"/>
      <c r="X38" s="4"/>
      <c r="Y38" s="4"/>
      <c r="Z38" s="4"/>
      <c r="AA38" s="26"/>
      <c r="AB38" s="4"/>
      <c r="AC38" s="4"/>
      <c r="AD38" s="4"/>
      <c r="AE38" s="4"/>
    </row>
    <row r="39" spans="2:31" ht="18" customHeight="1" x14ac:dyDescent="0.45">
      <c r="B39" s="143" t="s">
        <v>21</v>
      </c>
      <c r="C39" s="18">
        <f>C36*SQRT(C33*C35*C38)/C33/(2/(C33 + 1))^((C33 + 1)/(2*C33 - 2))</f>
        <v>1385.4302060307175</v>
      </c>
      <c r="D39" s="27" t="s">
        <v>42</v>
      </c>
      <c r="E39" s="4"/>
      <c r="F39" s="4"/>
      <c r="G39" s="65" t="s">
        <v>161</v>
      </c>
      <c r="H39" s="9">
        <v>5</v>
      </c>
      <c r="K39" s="26"/>
      <c r="M39" s="142" t="s">
        <v>101</v>
      </c>
      <c r="N39" s="131">
        <f>SQRT(N35/PI())*2</f>
        <v>4.4409499166723453E-2</v>
      </c>
      <c r="O39" s="131">
        <f>CONVERT(1.45, "in", "m")</f>
        <v>3.6830000000000002E-2</v>
      </c>
      <c r="P39" s="27" t="s">
        <v>107</v>
      </c>
      <c r="Q39" s="10" t="s">
        <v>234</v>
      </c>
      <c r="U39" s="4"/>
      <c r="V39" s="4"/>
      <c r="W39" s="4"/>
      <c r="X39" s="4"/>
      <c r="Y39" s="4"/>
      <c r="Z39" s="4"/>
      <c r="AA39" s="26"/>
      <c r="AB39" s="4"/>
      <c r="AC39" s="4"/>
      <c r="AD39" s="4"/>
      <c r="AE39" s="4"/>
    </row>
    <row r="40" spans="2:31" ht="18" customHeight="1" x14ac:dyDescent="0.45">
      <c r="B40" s="143" t="s">
        <v>226</v>
      </c>
      <c r="C40" s="45">
        <f>19/30</f>
        <v>0.6333333333333333</v>
      </c>
      <c r="D40" s="27" t="s">
        <v>277</v>
      </c>
      <c r="E40" s="4"/>
      <c r="F40" s="4"/>
      <c r="G40" s="65" t="s">
        <v>143</v>
      </c>
      <c r="H40" s="48">
        <f>CONVERT(5.5, "in", "mm")</f>
        <v>139.69999999999999</v>
      </c>
      <c r="I40" s="27"/>
      <c r="J40" s="4"/>
      <c r="K40" s="26"/>
      <c r="M40" s="142" t="s">
        <v>102</v>
      </c>
      <c r="N40" s="131">
        <f>SQRT(N36/PI())*2</f>
        <v>0.10392525913409807</v>
      </c>
      <c r="O40" s="131">
        <f>CONVERT(3.275, "in", "m")</f>
        <v>8.3184999999999995E-2</v>
      </c>
      <c r="P40" s="27" t="s">
        <v>108</v>
      </c>
      <c r="Q40" s="10" t="s">
        <v>235</v>
      </c>
      <c r="U40" s="4"/>
      <c r="V40" s="4"/>
      <c r="W40" s="4"/>
      <c r="X40" s="4"/>
      <c r="Y40" s="4"/>
      <c r="Z40" s="4"/>
      <c r="AA40" s="26"/>
      <c r="AB40" s="4"/>
      <c r="AC40" s="4"/>
      <c r="AD40" s="4"/>
      <c r="AE40" s="4"/>
    </row>
    <row r="41" spans="2:31" ht="18" customHeight="1" x14ac:dyDescent="0.35">
      <c r="B41" s="143"/>
      <c r="C41" s="45"/>
      <c r="D41" s="27"/>
      <c r="E41" s="4"/>
      <c r="F41" s="4"/>
      <c r="G41" s="4"/>
      <c r="H41" s="4"/>
      <c r="I41" s="4"/>
      <c r="J41" s="4"/>
      <c r="K41" s="26"/>
      <c r="M41" s="25"/>
      <c r="N41" s="27"/>
      <c r="O41" s="27"/>
      <c r="P41" s="4"/>
      <c r="U41" s="4"/>
      <c r="V41" s="4"/>
      <c r="W41" s="4"/>
      <c r="X41" s="4"/>
      <c r="Y41" s="4"/>
      <c r="Z41" s="4"/>
      <c r="AA41" s="26"/>
      <c r="AB41" s="4"/>
      <c r="AC41" s="4"/>
      <c r="AD41" s="4"/>
      <c r="AE41" s="4"/>
    </row>
    <row r="42" spans="2:31" ht="15" thickBot="1" x14ac:dyDescent="0.4">
      <c r="B42" s="35"/>
      <c r="C42" s="33"/>
      <c r="D42" s="33"/>
      <c r="E42" s="33"/>
      <c r="F42" s="33"/>
      <c r="G42" s="33"/>
      <c r="H42" s="33"/>
      <c r="I42" s="33"/>
      <c r="J42" s="33"/>
      <c r="K42" s="34"/>
      <c r="M42" s="35"/>
      <c r="N42" s="33"/>
      <c r="O42" s="33"/>
      <c r="P42" s="33"/>
      <c r="Q42" s="33"/>
      <c r="R42" s="33"/>
      <c r="S42" s="33"/>
      <c r="T42" s="33"/>
      <c r="U42" s="33"/>
      <c r="V42" s="33"/>
      <c r="W42" s="33"/>
      <c r="X42" s="33"/>
      <c r="Y42" s="33"/>
      <c r="Z42" s="33"/>
      <c r="AA42" s="34"/>
      <c r="AB42" s="4"/>
      <c r="AC42" s="4"/>
      <c r="AD42" s="4"/>
      <c r="AE42" s="4"/>
    </row>
    <row r="43" spans="2:31" x14ac:dyDescent="0.35">
      <c r="AB43" s="4"/>
      <c r="AC43" s="4"/>
      <c r="AD43" s="4"/>
      <c r="AE43" s="4"/>
    </row>
    <row r="44" spans="2:31" x14ac:dyDescent="0.35">
      <c r="B44" s="8" t="s">
        <v>148</v>
      </c>
      <c r="AB44" s="4"/>
      <c r="AC44" s="4"/>
      <c r="AD44" s="4"/>
      <c r="AE44" s="4"/>
    </row>
    <row r="45" spans="2:31" x14ac:dyDescent="0.35">
      <c r="AB45" s="4"/>
      <c r="AC45" s="4"/>
      <c r="AD45" s="4"/>
      <c r="AE45" s="4"/>
    </row>
    <row r="46" spans="2:31" x14ac:dyDescent="0.35">
      <c r="E46" s="15" t="s">
        <v>43</v>
      </c>
      <c r="F46" s="16" t="s">
        <v>44</v>
      </c>
      <c r="AB46" s="4"/>
      <c r="AC46" s="4"/>
      <c r="AD46" s="4"/>
      <c r="AE46" s="4"/>
    </row>
    <row r="47" spans="2:31" ht="16.5" x14ac:dyDescent="0.45">
      <c r="B47" t="s">
        <v>45</v>
      </c>
      <c r="C47" t="s">
        <v>46</v>
      </c>
      <c r="D47" s="7" t="s">
        <v>47</v>
      </c>
      <c r="E47" s="7" t="s">
        <v>48</v>
      </c>
      <c r="F47" s="7" t="s">
        <v>48</v>
      </c>
      <c r="AB47" s="4"/>
      <c r="AC47" s="4"/>
      <c r="AD47" s="4"/>
      <c r="AE47" s="4"/>
    </row>
    <row r="48" spans="2:31" x14ac:dyDescent="0.35">
      <c r="B48">
        <v>54</v>
      </c>
      <c r="C48" s="14">
        <f t="shared" ref="C48:C71" si="3">SQRT(2/($C$33-1)*((B48/$H$20)^((1-$C$33)/$C$33) - 1))</f>
        <v>3.1434203207380591</v>
      </c>
      <c r="D48" s="14">
        <f t="shared" ref="D48:D71" si="4">1/C48*(2/($C$33+1)*(1 + ($C$33-1)/2*C48^2))^(($C$33+1)/(2*$C$33-2))</f>
        <v>7.337628235387637</v>
      </c>
      <c r="E48" s="14">
        <f>$C$36*$C$39/9.81*($C$33*SQRT(2/($C$33-1)*(2/($C$33+1))^(($C$33+1)/($C$33-1))*(1 - (B48/$H$20)^(($C$33-1)/$C$33))) + D48/$H$20*(B48 - $C$28))</f>
        <v>189.85872882325691</v>
      </c>
      <c r="F48" s="14">
        <f>$C$36*$C$39/9.81*($C$33*SQRT(2/($C$33-1)*(2/($C$33+1))^(($C$33+1)/($C$33-1))*(1 - (B48/$H$20)^(($C$33-1)/$C$33))) + D48/$H$20*(B48 - $C$27))</f>
        <v>185.64984939425895</v>
      </c>
      <c r="AB48" s="4"/>
      <c r="AC48" s="4"/>
      <c r="AD48" s="4"/>
      <c r="AE48" s="4"/>
    </row>
    <row r="49" spans="2:31" x14ac:dyDescent="0.35">
      <c r="B49">
        <v>54.25</v>
      </c>
      <c r="C49" s="14">
        <f t="shared" si="3"/>
        <v>3.1408518676560147</v>
      </c>
      <c r="D49" s="14">
        <f>1/C49*(2/($C$33+1)*(1 + ($C$33-1)/2*C49^2))^(($C$33+1)/(2*$C$33-2))</f>
        <v>7.3129922925138029</v>
      </c>
      <c r="E49" s="14">
        <f t="shared" ref="E49:E71" si="5">$C$36*$C$39/9.81*($C$33*SQRT(2/($C$33-1)*(2/($C$33+1))^(($C$33+1)/($C$33-1))*(1 - (B49/$H$20)^(($C$33-1)/$C$33))) + D49/$H$20*(B49 - $C$28))</f>
        <v>189.88583991632598</v>
      </c>
      <c r="F49" s="14">
        <f t="shared" ref="F49:F71" si="6">$C$36*$C$39/9.81*($C$33*SQRT(2/($C$33-1)*(2/($C$33+1))^(($C$33+1)/($C$33-1))*(1 - (B49/$H$20)^(($C$33-1)/$C$33))) + D49/$H$20*(B49 - $C$27))</f>
        <v>185.69109171745436</v>
      </c>
      <c r="O49" s="138"/>
      <c r="AB49" s="4"/>
      <c r="AC49" s="4"/>
      <c r="AD49" s="4"/>
      <c r="AE49" s="4"/>
    </row>
    <row r="50" spans="2:31" x14ac:dyDescent="0.35">
      <c r="B50">
        <v>54.5</v>
      </c>
      <c r="C50" s="14">
        <f t="shared" si="3"/>
        <v>3.1382953742287221</v>
      </c>
      <c r="D50" s="14">
        <f t="shared" si="4"/>
        <v>7.2885562549215308</v>
      </c>
      <c r="E50" s="14">
        <f>$C$36*$C$39/9.81*($C$33*SQRT(2/($C$33-1)*(2/($C$33+1))^(($C$33+1)/($C$33-1))*(1 - (B50/$H$20)^(($C$33-1)/$C$33))) + D50/$H$20*(B50 - $C$28))</f>
        <v>189.91248075556672</v>
      </c>
      <c r="F50" s="14">
        <f t="shared" si="6"/>
        <v>185.73174912071948</v>
      </c>
      <c r="AB50" s="4"/>
      <c r="AC50" s="4"/>
      <c r="AD50" s="4"/>
      <c r="AE50" s="4"/>
    </row>
    <row r="51" spans="2:31" x14ac:dyDescent="0.35">
      <c r="B51">
        <v>54.75</v>
      </c>
      <c r="C51" s="14">
        <f t="shared" si="3"/>
        <v>3.1357507287259874</v>
      </c>
      <c r="D51" s="14">
        <f t="shared" si="4"/>
        <v>7.2643175911567122</v>
      </c>
      <c r="E51" s="14">
        <f t="shared" si="5"/>
        <v>189.93865816962287</v>
      </c>
      <c r="F51" s="14">
        <f t="shared" si="6"/>
        <v>185.77182988474559</v>
      </c>
      <c r="AB51" s="4"/>
      <c r="AC51" s="4"/>
      <c r="AD51" s="4"/>
      <c r="AE51" s="4"/>
    </row>
    <row r="52" spans="2:31" x14ac:dyDescent="0.35">
      <c r="B52">
        <v>55</v>
      </c>
      <c r="C52" s="14">
        <f t="shared" si="3"/>
        <v>3.1332178209689472</v>
      </c>
      <c r="D52" s="14">
        <f t="shared" si="4"/>
        <v>7.2402738132229656</v>
      </c>
      <c r="E52" s="14">
        <f t="shared" si="5"/>
        <v>189.96437886287083</v>
      </c>
      <c r="F52" s="14">
        <f t="shared" si="6"/>
        <v>185.81134214102923</v>
      </c>
      <c r="AB52" s="4"/>
      <c r="AC52" s="4"/>
      <c r="AD52" s="4"/>
      <c r="AE52" s="4"/>
    </row>
    <row r="53" spans="2:31" x14ac:dyDescent="0.35">
      <c r="B53">
        <v>55.25</v>
      </c>
      <c r="C53" s="14">
        <f t="shared" si="3"/>
        <v>3.1306965423015689</v>
      </c>
      <c r="D53" s="14">
        <f t="shared" si="4"/>
        <v>7.2164224756418651</v>
      </c>
      <c r="E53" s="14">
        <f t="shared" si="5"/>
        <v>189.98964941819546</v>
      </c>
      <c r="F53" s="14">
        <f t="shared" si="6"/>
        <v>185.85029387518696</v>
      </c>
      <c r="AB53" s="4"/>
      <c r="AC53" s="4"/>
      <c r="AD53" s="4"/>
      <c r="AE53" s="4"/>
    </row>
    <row r="54" spans="2:31" x14ac:dyDescent="0.35">
      <c r="B54">
        <v>55.5</v>
      </c>
      <c r="C54" s="14">
        <f t="shared" si="3"/>
        <v>3.1281867855627965</v>
      </c>
      <c r="D54" s="14">
        <f t="shared" si="4"/>
        <v>7.1927611745376172</v>
      </c>
      <c r="E54" s="14">
        <f t="shared" si="5"/>
        <v>190.01447629969272</v>
      </c>
      <c r="F54" s="14">
        <f t="shared" si="6"/>
        <v>185.88869293018311</v>
      </c>
      <c r="AB54" s="4"/>
      <c r="AC54" s="4"/>
      <c r="AD54" s="4"/>
      <c r="AE54" s="4"/>
    </row>
    <row r="55" spans="2:31" x14ac:dyDescent="0.35">
      <c r="B55">
        <v>55.75</v>
      </c>
      <c r="C55" s="14">
        <f t="shared" si="3"/>
        <v>3.125688445059331</v>
      </c>
      <c r="D55" s="14">
        <f t="shared" si="4"/>
        <v>7.1692875467454655</v>
      </c>
      <c r="E55" s="14">
        <f t="shared" si="5"/>
        <v>190.03886585529989</v>
      </c>
      <c r="F55" s="14">
        <f t="shared" si="6"/>
        <v>185.92654700947139</v>
      </c>
      <c r="AB55" s="4"/>
      <c r="AC55" s="4"/>
      <c r="AD55" s="4"/>
      <c r="AE55" s="4"/>
    </row>
    <row r="56" spans="2:31" x14ac:dyDescent="0.35">
      <c r="B56">
        <v>56</v>
      </c>
      <c r="C56" s="14">
        <f t="shared" si="3"/>
        <v>3.1232014165390192</v>
      </c>
      <c r="D56" s="14">
        <f t="shared" si="4"/>
        <v>7.1459992689430569</v>
      </c>
      <c r="E56" s="14">
        <f t="shared" si="5"/>
        <v>190.06282431935742</v>
      </c>
      <c r="F56" s="14">
        <f t="shared" si="6"/>
        <v>185.96386368005489</v>
      </c>
      <c r="AB56" s="4"/>
      <c r="AC56" s="4"/>
      <c r="AD56" s="4"/>
      <c r="AE56" s="4"/>
    </row>
    <row r="57" spans="2:31" x14ac:dyDescent="0.35">
      <c r="B57">
        <v>56.25</v>
      </c>
      <c r="C57" s="14">
        <f t="shared" si="3"/>
        <v>3.120725597164852</v>
      </c>
      <c r="D57" s="14">
        <f t="shared" si="4"/>
        <v>7.122894056804201</v>
      </c>
      <c r="E57" s="14">
        <f t="shared" si="5"/>
        <v>190.08635781510264</v>
      </c>
      <c r="F57" s="14">
        <f t="shared" si="6"/>
        <v>186.00065037546551</v>
      </c>
      <c r="AB57" s="4"/>
      <c r="AC57" s="4"/>
      <c r="AD57" s="4"/>
      <c r="AE57" s="4"/>
    </row>
    <row r="58" spans="2:31" x14ac:dyDescent="0.35">
      <c r="B58">
        <v>56.5</v>
      </c>
      <c r="C58" s="14">
        <f t="shared" si="3"/>
        <v>3.1182608854895424</v>
      </c>
      <c r="D58" s="14">
        <f t="shared" si="4"/>
        <v>7.0999696641742736</v>
      </c>
      <c r="E58" s="14">
        <f t="shared" si="5"/>
        <v>190.10947235709932</v>
      </c>
      <c r="F58" s="14">
        <f t="shared" si="6"/>
        <v>186.03691439866603</v>
      </c>
      <c r="AB58" s="4"/>
      <c r="AC58" s="4"/>
      <c r="AD58" s="4"/>
      <c r="AE58" s="4"/>
    </row>
    <row r="59" spans="2:31" x14ac:dyDescent="0.35">
      <c r="B59">
        <v>56.75</v>
      </c>
      <c r="C59" s="14">
        <f t="shared" si="3"/>
        <v>3.1158071814306614</v>
      </c>
      <c r="D59" s="14">
        <f t="shared" si="4"/>
        <v>7.0772238822664928</v>
      </c>
      <c r="E59" s="14">
        <f t="shared" si="5"/>
        <v>190.13217385360284</v>
      </c>
      <c r="F59" s="14">
        <f t="shared" si="6"/>
        <v>186.07266292487688</v>
      </c>
      <c r="AB59" s="4"/>
      <c r="AC59" s="4"/>
      <c r="AD59" s="4"/>
      <c r="AE59" s="4"/>
    </row>
    <row r="60" spans="2:31" x14ac:dyDescent="0.35">
      <c r="B60">
        <v>57</v>
      </c>
      <c r="C60" s="14">
        <f t="shared" si="3"/>
        <v>3.1133643862463396</v>
      </c>
      <c r="D60" s="14">
        <f t="shared" si="4"/>
        <v>7.0546545388787782</v>
      </c>
      <c r="E60" s="14">
        <f t="shared" si="5"/>
        <v>190.15446810886544</v>
      </c>
      <c r="F60" s="14">
        <f t="shared" si="6"/>
        <v>186.10790300432998</v>
      </c>
      <c r="AB60" s="4"/>
      <c r="AC60" s="4"/>
      <c r="AD60" s="4"/>
      <c r="AE60" s="4"/>
    </row>
    <row r="61" spans="2:31" x14ac:dyDescent="0.35">
      <c r="B61">
        <v>57.25</v>
      </c>
      <c r="C61" s="14">
        <f t="shared" si="3"/>
        <v>3.1109324025114997</v>
      </c>
      <c r="D61" s="14">
        <f t="shared" si="4"/>
        <v>7.0322594976302133</v>
      </c>
      <c r="E61" s="14">
        <f t="shared" si="5"/>
        <v>190.17636082538064</v>
      </c>
      <c r="F61" s="14">
        <f t="shared" si="6"/>
        <v>186.14264156495159</v>
      </c>
      <c r="AB61" s="4"/>
      <c r="AC61" s="4"/>
      <c r="AD61" s="4"/>
      <c r="AE61" s="4"/>
    </row>
    <row r="62" spans="2:31" x14ac:dyDescent="0.35">
      <c r="B62">
        <v>57.5</v>
      </c>
      <c r="C62" s="14">
        <f t="shared" si="3"/>
        <v>3.1085111340946101</v>
      </c>
      <c r="D62" s="14">
        <f t="shared" si="4"/>
        <v>7.0100366572167561</v>
      </c>
      <c r="E62" s="14">
        <f t="shared" si="5"/>
        <v>190.1978576060711</v>
      </c>
      <c r="F62" s="14">
        <f t="shared" si="6"/>
        <v>186.17688541497694</v>
      </c>
      <c r="AB62" s="4"/>
      <c r="AC62" s="4"/>
      <c r="AD62" s="4"/>
      <c r="AE62" s="4"/>
    </row>
    <row r="63" spans="2:31" x14ac:dyDescent="0.35">
      <c r="B63">
        <v>57.75</v>
      </c>
      <c r="C63" s="14">
        <f t="shared" si="3"/>
        <v>3.106100486134955</v>
      </c>
      <c r="D63" s="14">
        <f t="shared" si="4"/>
        <v>6.9879839506856136</v>
      </c>
      <c r="E63" s="14">
        <f t="shared" si="5"/>
        <v>190.21896395642017</v>
      </c>
      <c r="F63" s="14">
        <f t="shared" si="6"/>
        <v>186.21064124549792</v>
      </c>
      <c r="H63" t="s">
        <v>64</v>
      </c>
      <c r="AB63" s="4"/>
      <c r="AC63" s="4"/>
      <c r="AD63" s="4"/>
      <c r="AE63" s="4"/>
    </row>
    <row r="64" spans="2:31" x14ac:dyDescent="0.35">
      <c r="B64">
        <v>58</v>
      </c>
      <c r="C64" s="14">
        <f t="shared" si="3"/>
        <v>3.1037003650203934</v>
      </c>
      <c r="D64" s="14">
        <f t="shared" si="4"/>
        <v>6.9660993447276534</v>
      </c>
      <c r="E64" s="14">
        <f t="shared" si="5"/>
        <v>190.23968528654865</v>
      </c>
      <c r="F64" s="14">
        <f t="shared" si="6"/>
        <v>186.24391563294597</v>
      </c>
      <c r="H64" s="22" t="s">
        <v>59</v>
      </c>
      <c r="AB64" s="4"/>
      <c r="AC64" s="4"/>
      <c r="AD64" s="4"/>
      <c r="AE64" s="4"/>
    </row>
    <row r="65" spans="2:31" x14ac:dyDescent="0.35">
      <c r="B65">
        <v>58.25</v>
      </c>
      <c r="C65" s="14">
        <f t="shared" si="3"/>
        <v>3.1013106783656048</v>
      </c>
      <c r="D65" s="14">
        <f t="shared" si="4"/>
        <v>6.9443808389873256</v>
      </c>
      <c r="E65" s="14">
        <f t="shared" si="5"/>
        <v>190.26002691323993</v>
      </c>
      <c r="F65" s="14">
        <f t="shared" si="6"/>
        <v>186.2767150415126</v>
      </c>
      <c r="H65" s="22" t="s">
        <v>58</v>
      </c>
      <c r="AB65" s="4"/>
      <c r="AC65" s="4"/>
      <c r="AD65" s="4"/>
      <c r="AE65" s="4"/>
    </row>
    <row r="66" spans="2:31" x14ac:dyDescent="0.35">
      <c r="B66">
        <v>58.5</v>
      </c>
      <c r="C66" s="14">
        <f t="shared" si="3"/>
        <v>3.0989313349908096</v>
      </c>
      <c r="D66" s="14">
        <f t="shared" si="4"/>
        <v>6.92282646538977</v>
      </c>
      <c r="E66" s="14">
        <f t="shared" si="5"/>
        <v>190.27999406191293</v>
      </c>
      <c r="F66" s="14">
        <f t="shared" si="6"/>
        <v>186.30904582550883</v>
      </c>
      <c r="AB66" s="4"/>
      <c r="AC66" s="4"/>
      <c r="AD66" s="4"/>
      <c r="AE66" s="4"/>
    </row>
    <row r="67" spans="2:31" x14ac:dyDescent="0.35">
      <c r="B67">
        <v>58.75</v>
      </c>
      <c r="C67" s="14">
        <f t="shared" si="3"/>
        <v>3.0965622449009396</v>
      </c>
      <c r="D67" s="14">
        <f t="shared" si="4"/>
        <v>6.901434287484344</v>
      </c>
      <c r="E67" s="14">
        <f t="shared" si="5"/>
        <v>190.29959186854614</v>
      </c>
      <c r="F67" s="14">
        <f t="shared" si="6"/>
        <v>186.34091423166535</v>
      </c>
      <c r="AB67" s="4"/>
      <c r="AC67" s="4"/>
      <c r="AD67" s="4"/>
      <c r="AE67" s="4"/>
    </row>
    <row r="68" spans="2:31" x14ac:dyDescent="0.35">
      <c r="B68">
        <v>59</v>
      </c>
      <c r="C68" s="14">
        <f t="shared" si="3"/>
        <v>3.0942033192652629</v>
      </c>
      <c r="D68" s="14">
        <f t="shared" si="4"/>
        <v>6.8802023998042889</v>
      </c>
      <c r="E68" s="14">
        <f t="shared" si="5"/>
        <v>190.31882538155318</v>
      </c>
      <c r="F68" s="14">
        <f t="shared" si="6"/>
        <v>186.37232640137572</v>
      </c>
      <c r="AB68" s="4"/>
      <c r="AC68" s="4"/>
      <c r="AD68" s="4"/>
      <c r="AE68" s="4"/>
    </row>
    <row r="69" spans="2:31" x14ac:dyDescent="0.35">
      <c r="B69">
        <v>59.25</v>
      </c>
      <c r="C69" s="14">
        <f t="shared" si="3"/>
        <v>3.0918544703974407</v>
      </c>
      <c r="D69" s="14">
        <f t="shared" si="4"/>
        <v>6.8591289272419935</v>
      </c>
      <c r="E69" s="14">
        <f t="shared" si="5"/>
        <v>190.33769956361166</v>
      </c>
      <c r="F69" s="14">
        <f t="shared" si="6"/>
        <v>186.40328837288331</v>
      </c>
      <c r="AB69" s="4"/>
      <c r="AC69" s="4"/>
      <c r="AD69" s="4"/>
      <c r="AE69" s="4"/>
    </row>
    <row r="70" spans="2:31" x14ac:dyDescent="0.35">
      <c r="B70">
        <v>59.5</v>
      </c>
      <c r="C70" s="14">
        <f t="shared" si="3"/>
        <v>3.0895156117360076</v>
      </c>
      <c r="D70" s="14">
        <f t="shared" si="4"/>
        <v>6.8382120244394518</v>
      </c>
      <c r="E70" s="14">
        <f>$C$36*$C$39/9.81*($C$33*SQRT(2/($C$33-1)*(2/($C$33+1))^(($C$33+1)/($C$33-1))*(1 - (B70/$H$20)^(($C$33-1)/$C$33))) + D70/$H$20*(B70 - $C$28))</f>
        <v>190.35621929344643</v>
      </c>
      <c r="F70" s="14">
        <f t="shared" si="6"/>
        <v>186.43380608341425</v>
      </c>
      <c r="AB70" s="4"/>
      <c r="AC70" s="4"/>
      <c r="AD70" s="4"/>
      <c r="AE70" s="4"/>
    </row>
    <row r="71" spans="2:31" x14ac:dyDescent="0.35">
      <c r="B71">
        <v>59.75</v>
      </c>
      <c r="C71" s="14">
        <f t="shared" si="3"/>
        <v>3.0871866578252707</v>
      </c>
      <c r="D71" s="14">
        <f t="shared" si="4"/>
        <v>6.8174498751934625</v>
      </c>
      <c r="E71" s="14">
        <f t="shared" si="5"/>
        <v>190.37438936756917</v>
      </c>
      <c r="F71" s="14">
        <f t="shared" si="6"/>
        <v>186.46388537125836</v>
      </c>
      <c r="AB71" s="4"/>
      <c r="AC71" s="4"/>
      <c r="AD71" s="4"/>
      <c r="AE71" s="4"/>
    </row>
    <row r="72" spans="2:31" x14ac:dyDescent="0.35">
      <c r="B72">
        <v>60</v>
      </c>
      <c r="C72" s="14">
        <f t="shared" ref="C72:C103" si="7">SQRT(2/($C$33-1)*((B72/$H$20)^((1-$C$33)/$C$33) - 1))</f>
        <v>3.0848675242966035</v>
      </c>
      <c r="D72" s="14">
        <f t="shared" ref="D72:D103" si="8">1/C72*(2/($C$33+1)*(1 + ($C$33-1)/2*C72^2))^(($C$33+1)/(2*$C$33-2))</f>
        <v>6.7968406918751452</v>
      </c>
      <c r="E72" s="14">
        <f>$C$36*$C$39/9.81*($C$33*SQRT(2/($C$33-1)*(2/($C$33+1))^(($C$33+1)/($C$33-1))*(1 - (B72/$H$20)^(($C$33-1)/$C$33))) + D72/$H$20*(B72 - $C$28))</f>
        <v>190.39221450197437</v>
      </c>
      <c r="F72" s="14">
        <f>$C$36*$C$39/9.81*($C$33*SQRT(2/($C$33-1)*(2/($C$33+1))^(($C$33+1)/($C$33-1))*(1 - (B72/$H$20)^(($C$33-1)/$C$33))) + D72/$H$20*(B72 - $C$27))</f>
        <v>186.49353197779791</v>
      </c>
    </row>
    <row r="73" spans="2:31" x14ac:dyDescent="0.35">
      <c r="B73">
        <v>60.25</v>
      </c>
      <c r="C73" s="14">
        <f t="shared" si="7"/>
        <v>3.0825581278501395</v>
      </c>
      <c r="D73" s="14">
        <f t="shared" si="8"/>
        <v>6.7763827148633382</v>
      </c>
      <c r="E73" s="14">
        <f t="shared" ref="E73:E137" si="9">$C$37*$C$39/9.81*($C$33*SQRT(2/($C$33-1)*(2/($C$33+1))^(($C$33+1)/($C$33-1))*(1 - (B73/$H$20)^(($C$33-1)/$C$33))) + D73/$H$20*(B73 - $C$28))</f>
        <v>190.40969933379472</v>
      </c>
      <c r="F73" s="14">
        <f t="shared" ref="F73:F137" si="10">$C$37*$C$39/9.81*($C$33*SQRT(2/($C$33-1)*(2/($C$33+1))^(($C$33+1)/($C$33-1))*(1 - (B73/$H$20)^(($C$33-1)/$C$33))) + D73/$H$20*(B73 - $C$27))</f>
        <v>186.52275154948813</v>
      </c>
    </row>
    <row r="74" spans="2:31" x14ac:dyDescent="0.35">
      <c r="B74">
        <v>60.5</v>
      </c>
      <c r="C74" s="14">
        <f t="shared" si="7"/>
        <v>3.080258386236848</v>
      </c>
      <c r="D74" s="14">
        <f t="shared" si="8"/>
        <v>6.7560742119916508</v>
      </c>
      <c r="E74" s="14">
        <f t="shared" si="9"/>
        <v>190.42684842291501</v>
      </c>
      <c r="F74" s="14">
        <f t="shared" si="10"/>
        <v>186.55154963978816</v>
      </c>
    </row>
    <row r="75" spans="2:31" x14ac:dyDescent="0.35">
      <c r="B75">
        <v>60.75</v>
      </c>
      <c r="C75" s="14">
        <f t="shared" si="7"/>
        <v>3.0779682182409793</v>
      </c>
      <c r="D75" s="14">
        <f t="shared" si="8"/>
        <v>6.7359134780085173</v>
      </c>
      <c r="E75" s="14">
        <f t="shared" si="9"/>
        <v>190.44366625354738</v>
      </c>
      <c r="F75" s="14">
        <f t="shared" si="10"/>
        <v>186.5799317110461</v>
      </c>
    </row>
    <row r="76" spans="2:31" x14ac:dyDescent="0.35">
      <c r="B76">
        <v>61</v>
      </c>
      <c r="C76" s="14">
        <f t="shared" si="7"/>
        <v>3.0756875436628781</v>
      </c>
      <c r="D76" s="14">
        <f t="shared" si="8"/>
        <v>6.7158988340501651</v>
      </c>
      <c r="E76" s="14">
        <f t="shared" si="9"/>
        <v>190.46015723576826</v>
      </c>
      <c r="F76" s="14">
        <f>$C$37*$C$39/9.81*($C$33*SQRT(2/($C$33-1)*(2/($C$33+1))^(($C$33+1)/($C$33-1))*(1 - (B76/$H$20)^(($C$33-1)/$C$33))) + D76/$H$20*(B76 - $C$27))</f>
        <v>186.60790313633831</v>
      </c>
    </row>
    <row r="77" spans="2:31" x14ac:dyDescent="0.35">
      <c r="B77">
        <v>61.25</v>
      </c>
      <c r="C77" s="14">
        <f t="shared" si="7"/>
        <v>3.0734162833021519</v>
      </c>
      <c r="D77" s="14">
        <f t="shared" si="8"/>
        <v>6.6960286271259246</v>
      </c>
      <c r="E77" s="14">
        <f t="shared" si="9"/>
        <v>190.47632570701816</v>
      </c>
      <c r="F77" s="14">
        <f t="shared" si="10"/>
        <v>186.6354692012643</v>
      </c>
    </row>
    <row r="78" spans="2:31" x14ac:dyDescent="0.35">
      <c r="B78">
        <v>61.5</v>
      </c>
      <c r="C78" s="14">
        <f t="shared" si="7"/>
        <v>3.0711543589411838</v>
      </c>
      <c r="D78" s="14">
        <f t="shared" si="8"/>
        <v>6.6763012296157127</v>
      </c>
      <c r="E78" s="14">
        <f t="shared" si="9"/>
        <v>190.49217593356522</v>
      </c>
      <c r="F78" s="14">
        <f t="shared" si="10"/>
        <v>186.66263510569868</v>
      </c>
    </row>
    <row r="79" spans="2:31" x14ac:dyDescent="0.35">
      <c r="B79">
        <v>61.75</v>
      </c>
      <c r="C79" s="14">
        <f t="shared" si="7"/>
        <v>3.0689016933289839</v>
      </c>
      <c r="D79" s="14">
        <f t="shared" si="8"/>
        <v>6.6567150387792315</v>
      </c>
      <c r="E79" s="14">
        <f t="shared" si="9"/>
        <v>190.5077121119341</v>
      </c>
      <c r="F79" s="14">
        <f t="shared" si="10"/>
        <v>186.68940596550135</v>
      </c>
    </row>
    <row r="80" spans="2:31" x14ac:dyDescent="0.35">
      <c r="B80">
        <v>62</v>
      </c>
      <c r="C80" s="14">
        <f t="shared" si="7"/>
        <v>3.0666582101653721</v>
      </c>
      <c r="D80" s="14">
        <f t="shared" si="8"/>
        <v>6.6372684762766045</v>
      </c>
      <c r="E80" s="14">
        <f t="shared" si="9"/>
        <v>190.52293837030038</v>
      </c>
      <c r="F80" s="14">
        <f t="shared" si="10"/>
        <v>186.71578681418706</v>
      </c>
    </row>
    <row r="81" spans="2:6" x14ac:dyDescent="0.35">
      <c r="B81">
        <v>62.25</v>
      </c>
      <c r="C81" s="14">
        <f t="shared" si="7"/>
        <v>3.0644238340854812</v>
      </c>
      <c r="D81" s="14">
        <f t="shared" si="8"/>
        <v>6.6179599877001678</v>
      </c>
      <c r="E81" s="14">
        <f t="shared" si="9"/>
        <v>190.53785876985199</v>
      </c>
      <c r="F81" s="14">
        <f t="shared" si="10"/>
        <v>186.74178260455534</v>
      </c>
    </row>
    <row r="82" spans="2:6" x14ac:dyDescent="0.35">
      <c r="B82">
        <v>62.5</v>
      </c>
      <c r="C82" s="14">
        <f t="shared" si="7"/>
        <v>3.0621984906445721</v>
      </c>
      <c r="D82" s="14">
        <f t="shared" si="8"/>
        <v>6.5987880421170146</v>
      </c>
      <c r="E82" s="14">
        <f t="shared" si="9"/>
        <v>190.55247730611848</v>
      </c>
      <c r="F82" s="14">
        <f t="shared" si="10"/>
        <v>186.76739821028221</v>
      </c>
    </row>
    <row r="83" spans="2:6" x14ac:dyDescent="0.35">
      <c r="B83">
        <v>62.75</v>
      </c>
      <c r="C83" s="14">
        <f t="shared" si="7"/>
        <v>3.0599821063031585</v>
      </c>
      <c r="D83" s="14">
        <f t="shared" si="8"/>
        <v>6.5797511316222081</v>
      </c>
      <c r="E83" s="14">
        <f t="shared" si="9"/>
        <v>190.56679791026886</v>
      </c>
      <c r="F83" s="14">
        <f t="shared" si="10"/>
        <v>186.79263842747415</v>
      </c>
    </row>
    <row r="84" spans="2:6" x14ac:dyDescent="0.35">
      <c r="B84">
        <v>63</v>
      </c>
      <c r="C84" s="14">
        <f t="shared" si="7"/>
        <v>3.0577746084124309</v>
      </c>
      <c r="D84" s="14">
        <f t="shared" si="8"/>
        <v>6.5608477709021233</v>
      </c>
      <c r="E84" s="14">
        <f t="shared" si="9"/>
        <v>190.5808244503788</v>
      </c>
      <c r="F84" s="14">
        <f t="shared" si="10"/>
        <v>186.81750797618594</v>
      </c>
    </row>
    <row r="85" spans="2:6" x14ac:dyDescent="0.35">
      <c r="B85">
        <v>63.25</v>
      </c>
      <c r="C85" s="14">
        <f t="shared" si="7"/>
        <v>3.0555759251999657</v>
      </c>
      <c r="D85" s="14">
        <f t="shared" si="8"/>
        <v>6.542076496807784</v>
      </c>
      <c r="E85" s="14">
        <f t="shared" si="9"/>
        <v>190.59456073266838</v>
      </c>
      <c r="F85" s="14">
        <f t="shared" si="10"/>
        <v>186.84201150190313</v>
      </c>
    </row>
    <row r="86" spans="2:6" x14ac:dyDescent="0.35">
      <c r="B86">
        <v>63.5</v>
      </c>
      <c r="C86" s="14">
        <f t="shared" si="7"/>
        <v>3.0533859857557277</v>
      </c>
      <c r="D86" s="14">
        <f t="shared" si="8"/>
        <v>6.5234358679379669</v>
      </c>
      <c r="E86" s="14">
        <f t="shared" si="9"/>
        <v>190.60801050271118</v>
      </c>
      <c r="F86" s="14">
        <f t="shared" si="10"/>
        <v>186.86615357699014</v>
      </c>
    </row>
    <row r="87" spans="2:6" x14ac:dyDescent="0.35">
      <c r="B87">
        <v>63.75</v>
      </c>
      <c r="C87" s="14">
        <f t="shared" si="7"/>
        <v>3.0512047200183461</v>
      </c>
      <c r="D87" s="14">
        <f t="shared" si="8"/>
        <v>6.5049244642316859</v>
      </c>
      <c r="E87" s="14">
        <f t="shared" si="9"/>
        <v>190.62117744661469</v>
      </c>
      <c r="F87" s="14">
        <f t="shared" si="10"/>
        <v>186.88993870210453</v>
      </c>
    </row>
    <row r="88" spans="2:6" x14ac:dyDescent="0.35">
      <c r="B88">
        <v>64</v>
      </c>
      <c r="C88" s="14">
        <f t="shared" si="7"/>
        <v>3.0490320587616604</v>
      </c>
      <c r="D88" s="14">
        <f t="shared" si="8"/>
        <v>6.4865408865699345</v>
      </c>
      <c r="E88" s="14">
        <f t="shared" si="9"/>
        <v>190.63406519217398</v>
      </c>
      <c r="F88" s="14">
        <f t="shared" si="10"/>
        <v>186.91337130757901</v>
      </c>
    </row>
    <row r="89" spans="2:6" x14ac:dyDescent="0.35">
      <c r="B89">
        <v>64.25</v>
      </c>
      <c r="C89" s="14">
        <f t="shared" si="7"/>
        <v>3.0468679335815345</v>
      </c>
      <c r="D89" s="14">
        <f t="shared" si="8"/>
        <v>6.468283756386322</v>
      </c>
      <c r="E89" s="14">
        <f t="shared" si="9"/>
        <v>190.64667730999844</v>
      </c>
      <c r="F89" s="14">
        <f t="shared" si="10"/>
        <v>186.93645575477166</v>
      </c>
    </row>
    <row r="90" spans="2:6" x14ac:dyDescent="0.35">
      <c r="B90">
        <v>64.5</v>
      </c>
      <c r="C90" s="14">
        <f t="shared" si="7"/>
        <v>3.0447122768829322</v>
      </c>
      <c r="D90" s="14">
        <f t="shared" si="8"/>
        <v>6.4501517152865313</v>
      </c>
      <c r="E90" s="14">
        <f t="shared" si="9"/>
        <v>190.65901731461292</v>
      </c>
      <c r="F90" s="14">
        <f t="shared" si="10"/>
        <v>186.95919633738526</v>
      </c>
    </row>
    <row r="91" spans="2:6" x14ac:dyDescent="0.35">
      <c r="B91">
        <v>64.75</v>
      </c>
      <c r="C91" s="14">
        <f t="shared" si="7"/>
        <v>3.0425650218672335</v>
      </c>
      <c r="D91" s="14">
        <f t="shared" si="8"/>
        <v>6.4321434246761271</v>
      </c>
      <c r="E91" s="14">
        <f t="shared" si="9"/>
        <v>190.67108866553343</v>
      </c>
      <c r="F91" s="14">
        <f t="shared" si="10"/>
        <v>186.98159728275644</v>
      </c>
    </row>
    <row r="92" spans="2:6" x14ac:dyDescent="0.35">
      <c r="B92">
        <v>65</v>
      </c>
      <c r="C92" s="14">
        <f t="shared" si="7"/>
        <v>3.0404261025198123</v>
      </c>
      <c r="D92" s="14">
        <f t="shared" si="8"/>
        <v>6.4142575653967917</v>
      </c>
      <c r="E92" s="14">
        <f t="shared" si="9"/>
        <v>190.68289476831839</v>
      </c>
      <c r="F92" s="14">
        <f t="shared" si="10"/>
        <v>187.00366275311578</v>
      </c>
    </row>
    <row r="93" spans="2:6" x14ac:dyDescent="0.35">
      <c r="B93">
        <v>65.25</v>
      </c>
      <c r="C93" s="14">
        <f t="shared" si="7"/>
        <v>3.0382954535978475</v>
      </c>
      <c r="D93" s="14">
        <f t="shared" si="8"/>
        <v>6.396492837370495</v>
      </c>
      <c r="E93" s="14">
        <f t="shared" si="9"/>
        <v>190.69443897559637</v>
      </c>
      <c r="F93" s="14">
        <f t="shared" si="10"/>
        <v>187.02539684681932</v>
      </c>
    </row>
    <row r="94" spans="2:6" x14ac:dyDescent="0.35">
      <c r="B94">
        <v>65.5</v>
      </c>
      <c r="C94" s="14">
        <f t="shared" si="7"/>
        <v>3.0361730106183678</v>
      </c>
      <c r="D94" s="14">
        <f t="shared" si="8"/>
        <v>6.378847959251571</v>
      </c>
      <c r="E94" s="14">
        <f t="shared" si="9"/>
        <v>190.70572458806978</v>
      </c>
      <c r="F94" s="14">
        <f t="shared" si="10"/>
        <v>187.04680359955216</v>
      </c>
    </row>
    <row r="95" spans="2:6" x14ac:dyDescent="0.35">
      <c r="B95">
        <v>65.75</v>
      </c>
      <c r="C95" s="14">
        <f t="shared" si="7"/>
        <v>3.034058709846533</v>
      </c>
      <c r="D95" s="14">
        <f t="shared" si="8"/>
        <v>6.3613216680864335</v>
      </c>
      <c r="E95" s="14">
        <f t="shared" si="9"/>
        <v>190.71675485549696</v>
      </c>
      <c r="F95" s="14">
        <f t="shared" si="10"/>
        <v>187.06788698550557</v>
      </c>
    </row>
    <row r="96" spans="2:6" x14ac:dyDescent="0.35">
      <c r="B96">
        <v>66</v>
      </c>
      <c r="C96" s="14">
        <f t="shared" si="7"/>
        <v>3.0319524882841349</v>
      </c>
      <c r="D96" s="14">
        <f t="shared" si="8"/>
        <v>6.3439127189807412</v>
      </c>
      <c r="E96" s="14">
        <f t="shared" si="9"/>
        <v>190.72753297765124</v>
      </c>
      <c r="F96" s="14">
        <f t="shared" si="10"/>
        <v>187.08865091852687</v>
      </c>
    </row>
    <row r="97" spans="2:6" x14ac:dyDescent="0.35">
      <c r="B97">
        <v>66.25</v>
      </c>
      <c r="C97" s="14">
        <f t="shared" si="7"/>
        <v>3.0298542836583189</v>
      </c>
      <c r="D97" s="14">
        <f t="shared" si="8"/>
        <v>6.3266198847738231</v>
      </c>
      <c r="E97" s="14">
        <f t="shared" si="9"/>
        <v>190.73806210525936</v>
      </c>
      <c r="F97" s="14">
        <f t="shared" si="10"/>
        <v>187.10909925324495</v>
      </c>
    </row>
    <row r="98" spans="2:6" x14ac:dyDescent="0.35">
      <c r="B98">
        <v>66.5</v>
      </c>
      <c r="C98" s="14">
        <f t="shared" si="7"/>
        <v>3.0277640344105201</v>
      </c>
      <c r="D98" s="14">
        <f t="shared" si="8"/>
        <v>6.3094419557201453</v>
      </c>
      <c r="E98" s="14">
        <f t="shared" si="9"/>
        <v>190.74834534091835</v>
      </c>
      <c r="F98" s="14">
        <f t="shared" si="10"/>
        <v>187.1292357861694</v>
      </c>
    </row>
    <row r="99" spans="2:6" x14ac:dyDescent="0.35">
      <c r="B99">
        <v>66.75</v>
      </c>
      <c r="C99" s="14">
        <f t="shared" si="7"/>
        <v>3.0256816796856141</v>
      </c>
      <c r="D99" s="14">
        <f t="shared" si="8"/>
        <v>6.2923777391777422</v>
      </c>
      <c r="E99" s="14">
        <f t="shared" si="9"/>
        <v>190.75838573999255</v>
      </c>
      <c r="F99" s="14">
        <f t="shared" si="10"/>
        <v>187.14906425676665</v>
      </c>
    </row>
    <row r="100" spans="2:6" x14ac:dyDescent="0.35">
      <c r="B100">
        <v>67</v>
      </c>
      <c r="C100" s="14">
        <f t="shared" si="7"/>
        <v>3.0236071593212626</v>
      </c>
      <c r="D100" s="14">
        <f t="shared" si="8"/>
        <v>6.2754260593032827</v>
      </c>
      <c r="E100" s="14">
        <f t="shared" si="9"/>
        <v>190.76818631149041</v>
      </c>
      <c r="F100" s="14">
        <f t="shared" si="10"/>
        <v>187.16858834851129</v>
      </c>
    </row>
    <row r="101" spans="2:6" x14ac:dyDescent="0.35">
      <c r="B101">
        <v>67.25</v>
      </c>
      <c r="C101" s="14">
        <f t="shared" si="7"/>
        <v>3.0215404138374686</v>
      </c>
      <c r="D101" s="14">
        <f t="shared" si="8"/>
        <v>6.2585857567537682</v>
      </c>
      <c r="E101" s="14">
        <f t="shared" si="9"/>
        <v>190.77775001892212</v>
      </c>
      <c r="F101" s="14">
        <f t="shared" si="10"/>
        <v>187.18781168991535</v>
      </c>
    </row>
    <row r="102" spans="2:6" x14ac:dyDescent="0.35">
      <c r="B102">
        <v>67.5</v>
      </c>
      <c r="C102" s="14">
        <f t="shared" si="7"/>
        <v>3.019481384426324</v>
      </c>
      <c r="D102" s="14">
        <f t="shared" si="8"/>
        <v>6.2418556883945522</v>
      </c>
      <c r="E102" s="14">
        <f t="shared" si="9"/>
        <v>190.78707978113843</v>
      </c>
      <c r="F102" s="14">
        <f t="shared" si="10"/>
        <v>187.20673785553393</v>
      </c>
    </row>
    <row r="103" spans="2:6" x14ac:dyDescent="0.35">
      <c r="B103">
        <v>67.75</v>
      </c>
      <c r="C103" s="14">
        <f t="shared" si="7"/>
        <v>3.0174300129419471</v>
      </c>
      <c r="D103" s="14">
        <f t="shared" si="8"/>
        <v>6.2252347270136177</v>
      </c>
      <c r="E103" s="14">
        <f t="shared" si="9"/>
        <v>190.796178473151</v>
      </c>
      <c r="F103" s="14">
        <f t="shared" si="10"/>
        <v>187.22537036695002</v>
      </c>
    </row>
    <row r="104" spans="2:6" x14ac:dyDescent="0.35">
      <c r="B104">
        <v>68</v>
      </c>
      <c r="C104" s="14">
        <f t="shared" ref="C104:C135" si="11">SQRT(2/($C$33-1)*((B104/$H$20)^((1-$C$33)/$C$33) - 1))</f>
        <v>3.0153862418906114</v>
      </c>
      <c r="D104" s="14">
        <f t="shared" ref="D104:D135" si="12">1/C104*(2/($C$33+1)*(1 + ($C$33-1)/2*C104^2))^(($C$33+1)/(2*$C$33-2))</f>
        <v>6.2087217610419341</v>
      </c>
      <c r="E104" s="14">
        <f t="shared" si="9"/>
        <v>190.80504892693503</v>
      </c>
      <c r="F104" s="14">
        <f t="shared" si="10"/>
        <v>187.24371269373722</v>
      </c>
    </row>
    <row r="105" spans="2:6" x14ac:dyDescent="0.35">
      <c r="B105" s="71">
        <v>68.25</v>
      </c>
      <c r="C105" s="72">
        <f t="shared" si="11"/>
        <v>3.0133500144210532</v>
      </c>
      <c r="D105" s="72">
        <f t="shared" si="12"/>
        <v>6.1923156942797135</v>
      </c>
      <c r="E105" s="72">
        <f t="shared" si="9"/>
        <v>190.81369393221411</v>
      </c>
      <c r="F105" s="72">
        <f t="shared" si="10"/>
        <v>187.26176825440166</v>
      </c>
    </row>
    <row r="106" spans="2:6" x14ac:dyDescent="0.35">
      <c r="B106">
        <v>68.5</v>
      </c>
      <c r="C106" s="14">
        <f t="shared" si="11"/>
        <v>3.0113212743149598</v>
      </c>
      <c r="D106" s="14">
        <f t="shared" si="12"/>
        <v>6.17601544562842</v>
      </c>
      <c r="E106" s="14">
        <f t="shared" si="9"/>
        <v>190.82211623722864</v>
      </c>
      <c r="F106" s="14">
        <f t="shared" si="10"/>
        <v>187.27954041730422</v>
      </c>
    </row>
    <row r="107" spans="2:6" x14ac:dyDescent="0.35">
      <c r="B107">
        <v>68.75</v>
      </c>
      <c r="C107" s="14">
        <f t="shared" si="11"/>
        <v>3.0092999659776321</v>
      </c>
      <c r="D107" s="14">
        <f t="shared" si="12"/>
        <v>6.1598199488284751</v>
      </c>
      <c r="E107" s="14">
        <f t="shared" si="9"/>
        <v>190.83031854948712</v>
      </c>
      <c r="F107" s="14">
        <f t="shared" si="10"/>
        <v>187.29703250156217</v>
      </c>
    </row>
    <row r="108" spans="2:6" x14ac:dyDescent="0.35">
      <c r="B108">
        <v>69</v>
      </c>
      <c r="C108" s="14">
        <f t="shared" si="11"/>
        <v>3.0072860344288239</v>
      </c>
      <c r="D108" s="14">
        <f t="shared" si="12"/>
        <v>6.1437281522024181</v>
      </c>
      <c r="E108" s="14">
        <f t="shared" si="9"/>
        <v>190.8383035365014</v>
      </c>
      <c r="F108" s="14">
        <f t="shared" si="10"/>
        <v>187.31424777793188</v>
      </c>
    </row>
    <row r="109" spans="2:6" x14ac:dyDescent="0.35">
      <c r="B109">
        <v>69.25</v>
      </c>
      <c r="C109" s="14">
        <f t="shared" si="11"/>
        <v>3.0052794252937387</v>
      </c>
      <c r="D109" s="14">
        <f t="shared" si="12"/>
        <v>6.1277390184033882</v>
      </c>
      <c r="E109" s="14">
        <f t="shared" si="9"/>
        <v>190.84607382650651</v>
      </c>
      <c r="F109" s="14">
        <f t="shared" si="10"/>
        <v>187.33118946967272</v>
      </c>
    </row>
    <row r="110" spans="2:6" x14ac:dyDescent="0.35">
      <c r="B110" s="71">
        <v>69.5</v>
      </c>
      <c r="C110" s="72">
        <f t="shared" si="11"/>
        <v>3.0032800847941989</v>
      </c>
      <c r="D110" s="72">
        <f t="shared" si="12"/>
        <v>6.1118515241689133</v>
      </c>
      <c r="E110" s="72">
        <f t="shared" si="9"/>
        <v>190.85363200916481</v>
      </c>
      <c r="F110" s="72">
        <f t="shared" si="10"/>
        <v>187.34786075339261</v>
      </c>
    </row>
    <row r="111" spans="2:6" x14ac:dyDescent="0.35">
      <c r="B111">
        <v>69.75</v>
      </c>
      <c r="C111" s="14">
        <f t="shared" si="11"/>
        <v>3.0012879597399702</v>
      </c>
      <c r="D111" s="14">
        <f t="shared" si="12"/>
        <v>6.0960646600797332</v>
      </c>
      <c r="E111" s="14">
        <f t="shared" si="9"/>
        <v>190.86098063625511</v>
      </c>
      <c r="F111" s="14">
        <f t="shared" si="10"/>
        <v>187.36426475987554</v>
      </c>
    </row>
    <row r="112" spans="2:6" x14ac:dyDescent="0.35">
      <c r="B112">
        <v>70</v>
      </c>
      <c r="C112" s="14">
        <f t="shared" si="11"/>
        <v>2.9993029975202448</v>
      </c>
      <c r="D112" s="14">
        <f t="shared" si="12"/>
        <v>6.0803774303236402</v>
      </c>
      <c r="E112" s="14">
        <f t="shared" si="9"/>
        <v>190.86812222234741</v>
      </c>
      <c r="F112" s="14">
        <f t="shared" si="10"/>
        <v>187.38040457489146</v>
      </c>
    </row>
    <row r="113" spans="2:7" x14ac:dyDescent="0.35">
      <c r="B113">
        <v>70.25</v>
      </c>
      <c r="C113" s="14">
        <f t="shared" si="11"/>
        <v>2.9973251460952786</v>
      </c>
      <c r="D113" s="14">
        <f t="shared" si="12"/>
        <v>6.0647888524641482</v>
      </c>
      <c r="E113" s="14">
        <f t="shared" si="9"/>
        <v>190.87505924546329</v>
      </c>
      <c r="F113" s="14">
        <f t="shared" si="10"/>
        <v>187.39628323998963</v>
      </c>
    </row>
    <row r="114" spans="2:7" x14ac:dyDescent="0.35">
      <c r="B114">
        <v>70.5</v>
      </c>
      <c r="C114" s="14">
        <f t="shared" si="11"/>
        <v>2.9953543539881773</v>
      </c>
      <c r="D114" s="14">
        <f t="shared" si="12"/>
        <v>6.0492979572139145</v>
      </c>
      <c r="E114" s="14">
        <f t="shared" si="9"/>
        <v>190.8817941477223</v>
      </c>
      <c r="F114" s="14">
        <f t="shared" si="10"/>
        <v>187.411903753275</v>
      </c>
    </row>
    <row r="115" spans="2:7" x14ac:dyDescent="0.35">
      <c r="B115">
        <v>70.75</v>
      </c>
      <c r="C115" s="14">
        <f t="shared" si="11"/>
        <v>2.9933905702768278</v>
      </c>
      <c r="D115" s="14">
        <f t="shared" si="12"/>
        <v>6.0339037882128093</v>
      </c>
      <c r="E115" s="14">
        <f t="shared" si="9"/>
        <v>190.88832933597484</v>
      </c>
      <c r="F115" s="14">
        <f t="shared" si="10"/>
        <v>187.42726907016811</v>
      </c>
    </row>
    <row r="116" spans="2:7" x14ac:dyDescent="0.35">
      <c r="B116">
        <v>71</v>
      </c>
      <c r="C116" s="14">
        <f t="shared" si="11"/>
        <v>2.9914337445859798</v>
      </c>
      <c r="D116" s="14">
        <f t="shared" si="12"/>
        <v>6.0186054018104675</v>
      </c>
      <c r="E116" s="14">
        <f t="shared" si="9"/>
        <v>190.89466718242201</v>
      </c>
      <c r="F116" s="14">
        <f t="shared" si="10"/>
        <v>187.44238210415003</v>
      </c>
    </row>
    <row r="117" spans="2:7" x14ac:dyDescent="0.35">
      <c r="B117">
        <v>71.25</v>
      </c>
      <c r="C117" s="14">
        <f t="shared" si="11"/>
        <v>2.9894838270794573</v>
      </c>
      <c r="D117" s="14">
        <f t="shared" si="12"/>
        <v>6.0034018668532338</v>
      </c>
      <c r="E117" s="14">
        <f t="shared" si="9"/>
        <v>190.90081002522206</v>
      </c>
      <c r="F117" s="14">
        <f t="shared" si="10"/>
        <v>187.45724572749069</v>
      </c>
    </row>
    <row r="118" spans="2:7" x14ac:dyDescent="0.35">
      <c r="B118">
        <v>71.5</v>
      </c>
      <c r="C118" s="14">
        <f t="shared" si="11"/>
        <v>2.9875407684525204</v>
      </c>
      <c r="D118" s="14">
        <f t="shared" si="12"/>
        <v>5.9882922644755272</v>
      </c>
      <c r="E118" s="14">
        <f t="shared" si="9"/>
        <v>190.90676016908478</v>
      </c>
      <c r="F118" s="14">
        <f t="shared" si="10"/>
        <v>187.4718627719632</v>
      </c>
    </row>
    <row r="119" spans="2:7" x14ac:dyDescent="0.35">
      <c r="B119">
        <v>71.75</v>
      </c>
      <c r="C119" s="14">
        <f t="shared" si="11"/>
        <v>2.9856045199243488</v>
      </c>
      <c r="D119" s="14">
        <f t="shared" si="12"/>
        <v>5.973275687895212</v>
      </c>
      <c r="E119" s="14">
        <f t="shared" si="9"/>
        <v>190.91251988585316</v>
      </c>
      <c r="F119" s="14">
        <f t="shared" si="10"/>
        <v>187.48623602954279</v>
      </c>
    </row>
    <row r="120" spans="2:7" x14ac:dyDescent="0.35">
      <c r="B120">
        <v>72</v>
      </c>
      <c r="C120" s="14">
        <f t="shared" si="11"/>
        <v>2.9836750332306696</v>
      </c>
      <c r="D120" s="14">
        <f t="shared" si="12"/>
        <v>5.9583512422132703</v>
      </c>
      <c r="E120" s="14">
        <f t="shared" si="9"/>
        <v>190.91809141507346</v>
      </c>
      <c r="F120" s="14">
        <f t="shared" si="10"/>
        <v>187.50036825309169</v>
      </c>
    </row>
    <row r="121" spans="2:7" x14ac:dyDescent="0.35">
      <c r="B121">
        <v>72.25</v>
      </c>
      <c r="C121" s="14">
        <f t="shared" si="11"/>
        <v>2.9817522606165077</v>
      </c>
      <c r="D121" s="14">
        <f t="shared" si="12"/>
        <v>5.9435180442173525</v>
      </c>
      <c r="E121" s="14">
        <f t="shared" si="9"/>
        <v>190.92347696455309</v>
      </c>
      <c r="F121" s="14">
        <f t="shared" si="10"/>
        <v>187.5142621570298</v>
      </c>
    </row>
    <row r="122" spans="2:7" x14ac:dyDescent="0.35">
      <c r="B122">
        <v>72.5</v>
      </c>
      <c r="C122" s="14">
        <f t="shared" si="11"/>
        <v>2.9798361548290595</v>
      </c>
      <c r="D122" s="14">
        <f t="shared" si="12"/>
        <v>5.9287752221893051</v>
      </c>
      <c r="E122" s="14">
        <f t="shared" si="9"/>
        <v>190.92867871090738</v>
      </c>
      <c r="F122" s="14">
        <f t="shared" si="10"/>
        <v>187.52792041799188</v>
      </c>
    </row>
    <row r="123" spans="2:7" x14ac:dyDescent="0.35">
      <c r="B123">
        <v>72.75</v>
      </c>
      <c r="C123" s="14">
        <f t="shared" si="11"/>
        <v>2.9779266691106985</v>
      </c>
      <c r="D123" s="14">
        <f t="shared" si="12"/>
        <v>5.9141219157164597</v>
      </c>
      <c r="E123" s="14">
        <f t="shared" si="9"/>
        <v>190.93369880009507</v>
      </c>
      <c r="F123" s="14">
        <f t="shared" si="10"/>
        <v>187.54134567547129</v>
      </c>
    </row>
    <row r="124" spans="2:7" x14ac:dyDescent="0.35">
      <c r="B124">
        <v>73</v>
      </c>
      <c r="C124" s="14">
        <f t="shared" si="11"/>
        <v>2.9760237571920976</v>
      </c>
      <c r="D124" s="14">
        <f t="shared" si="12"/>
        <v>5.8995572755067629</v>
      </c>
      <c r="E124" s="14">
        <f t="shared" si="9"/>
        <v>190.93853934794311</v>
      </c>
      <c r="F124" s="14">
        <f t="shared" si="10"/>
        <v>187.55454053245066</v>
      </c>
    </row>
    <row r="125" spans="2:7" x14ac:dyDescent="0.35">
      <c r="B125" s="16">
        <v>73.12</v>
      </c>
      <c r="C125" s="147">
        <f>SQRT(2/($C$33-1)*((B125/$H$20)^((1-$C$33)/$C$33) - 1))</f>
        <v>2.9751126810218795</v>
      </c>
      <c r="D125" s="147">
        <f t="shared" si="12"/>
        <v>5.8925974958827299</v>
      </c>
      <c r="E125" s="68">
        <f>$C$37*$C$39/9.81*($C$33*SQRT(2/($C$33-1)*(2/($C$33+1))^(($C$33+1)/($C$33-1))*(1 - (B125/$H$20)^(($C$33-1)/$C$33))) + D125/$H$20*(B125 - $C$28))</f>
        <v>190.94079965152102</v>
      </c>
      <c r="F125" s="68">
        <f>$C$37*$C$39/9.81*($C$33*SQRT(2/($C$33-1)*(2/($C$33+1))^(($C$33+1)/($C$33-1))*(1 - (B125/$H$20)^(($C$33-1)/$C$33))) + D125/$H$20*(B125 - $C$27))</f>
        <v>187.56079298067672</v>
      </c>
      <c r="G125" s="11" t="s">
        <v>49</v>
      </c>
    </row>
    <row r="126" spans="2:7" x14ac:dyDescent="0.35">
      <c r="B126">
        <v>73.25</v>
      </c>
      <c r="C126" s="14">
        <f t="shared" si="11"/>
        <v>2.9741273732854694</v>
      </c>
      <c r="D126" s="14">
        <f t="shared" si="12"/>
        <v>5.8850804632074034</v>
      </c>
      <c r="E126" s="14">
        <f t="shared" si="9"/>
        <v>190.94320244066017</v>
      </c>
      <c r="F126" s="14">
        <f t="shared" si="10"/>
        <v>187.56750755601973</v>
      </c>
    </row>
    <row r="127" spans="2:7" x14ac:dyDescent="0.35">
      <c r="B127">
        <v>73.5</v>
      </c>
      <c r="C127" s="14">
        <f t="shared" si="11"/>
        <v>2.972237472077925</v>
      </c>
      <c r="D127" s="14">
        <f t="shared" si="12"/>
        <v>5.8706906512271608</v>
      </c>
      <c r="E127" s="14">
        <f t="shared" si="9"/>
        <v>190.94769013534085</v>
      </c>
      <c r="F127" s="14">
        <f t="shared" si="10"/>
        <v>187.58024927798112</v>
      </c>
    </row>
    <row r="128" spans="2:7" x14ac:dyDescent="0.35">
      <c r="B128">
        <v>73.75</v>
      </c>
      <c r="C128" s="14">
        <f t="shared" si="11"/>
        <v>2.9703540087249456</v>
      </c>
      <c r="D128" s="14">
        <f t="shared" si="12"/>
        <v>5.8563870225621129</v>
      </c>
      <c r="E128" s="14">
        <f t="shared" si="9"/>
        <v>190.95200446045848</v>
      </c>
      <c r="F128" s="14">
        <f t="shared" si="10"/>
        <v>187.59276819544351</v>
      </c>
    </row>
    <row r="129" spans="2:6" x14ac:dyDescent="0.35">
      <c r="B129">
        <v>74</v>
      </c>
      <c r="C129" s="14">
        <f t="shared" si="11"/>
        <v>2.9684769388439682</v>
      </c>
      <c r="D129" s="14">
        <f t="shared" si="12"/>
        <v>5.84216877062482</v>
      </c>
      <c r="E129" s="14">
        <f t="shared" si="9"/>
        <v>190.95614741634907</v>
      </c>
      <c r="F129" s="14">
        <f t="shared" si="10"/>
        <v>187.60506677140305</v>
      </c>
    </row>
    <row r="130" spans="2:6" x14ac:dyDescent="0.35">
      <c r="B130">
        <v>74.25</v>
      </c>
      <c r="C130" s="14">
        <f t="shared" si="11"/>
        <v>2.966606218508073</v>
      </c>
      <c r="D130" s="14">
        <f t="shared" si="12"/>
        <v>5.8280350990767831</v>
      </c>
      <c r="E130" s="14">
        <f t="shared" si="9"/>
        <v>190.96012097568487</v>
      </c>
      <c r="F130" s="14">
        <f t="shared" si="10"/>
        <v>187.61714743531357</v>
      </c>
    </row>
    <row r="131" spans="2:6" x14ac:dyDescent="0.35">
      <c r="B131">
        <v>74.5</v>
      </c>
      <c r="C131" s="14">
        <f t="shared" si="11"/>
        <v>2.9647418042397904</v>
      </c>
      <c r="D131" s="14">
        <f t="shared" si="12"/>
        <v>5.8139852216641765</v>
      </c>
      <c r="E131" s="14">
        <f t="shared" si="9"/>
        <v>190.9639270839389</v>
      </c>
      <c r="F131" s="14">
        <f t="shared" si="10"/>
        <v>187.62901258364496</v>
      </c>
    </row>
    <row r="132" spans="2:6" x14ac:dyDescent="0.35">
      <c r="B132">
        <v>74.75</v>
      </c>
      <c r="C132" s="14">
        <f t="shared" si="11"/>
        <v>2.9628836530049987</v>
      </c>
      <c r="D132" s="14">
        <f t="shared" si="12"/>
        <v>5.8000183620567691</v>
      </c>
      <c r="E132" s="14">
        <f t="shared" si="9"/>
        <v>190.96756765983994</v>
      </c>
      <c r="F132" s="14">
        <f t="shared" si="10"/>
        <v>187.64066458043072</v>
      </c>
    </row>
    <row r="133" spans="2:6" x14ac:dyDescent="0.35">
      <c r="B133">
        <v>75</v>
      </c>
      <c r="C133" s="14">
        <f t="shared" si="11"/>
        <v>2.9610317222069371</v>
      </c>
      <c r="D133" s="14">
        <f t="shared" si="12"/>
        <v>5.7861337536899011</v>
      </c>
      <c r="E133" s="14">
        <f t="shared" si="9"/>
        <v>190.97104459581874</v>
      </c>
      <c r="F133" s="14">
        <f t="shared" si="10"/>
        <v>187.65210575780475</v>
      </c>
    </row>
    <row r="134" spans="2:6" x14ac:dyDescent="0.35">
      <c r="B134">
        <v>75.25</v>
      </c>
      <c r="C134" s="14">
        <f t="shared" si="11"/>
        <v>2.9591859696803113</v>
      </c>
      <c r="D134" s="14">
        <f t="shared" si="12"/>
        <v>5.7723306396095539</v>
      </c>
      <c r="E134" s="14">
        <f t="shared" si="9"/>
        <v>190.97435975844522</v>
      </c>
      <c r="F134" s="14">
        <f t="shared" si="10"/>
        <v>187.66333841652741</v>
      </c>
    </row>
    <row r="135" spans="2:6" x14ac:dyDescent="0.35">
      <c r="B135">
        <v>75.5</v>
      </c>
      <c r="C135" s="14">
        <f t="shared" si="11"/>
        <v>2.9573463536855007</v>
      </c>
      <c r="D135" s="14">
        <f t="shared" si="12"/>
        <v>5.7586082723203313</v>
      </c>
      <c r="E135" s="14">
        <f t="shared" si="9"/>
        <v>190.97751498885714</v>
      </c>
      <c r="F135" s="14">
        <f t="shared" si="10"/>
        <v>187.67436482650143</v>
      </c>
    </row>
    <row r="136" spans="2:6" x14ac:dyDescent="0.35">
      <c r="B136">
        <v>75.75</v>
      </c>
      <c r="C136" s="14">
        <f t="shared" ref="C136:C167" si="13">SQRT(2/($C$33-1)*((B136/$H$20)^((1-$C$33)/$C$33) - 1))</f>
        <v>2.9555128329028642</v>
      </c>
      <c r="D136" s="14">
        <f t="shared" ref="D136:D167" si="14">1/C136*(2/($C$33+1)*(1 + ($C$33-1)/2*C136^2))^(($C$33+1)/(2*$C$33-2))</f>
        <v>5.7449659136363636</v>
      </c>
      <c r="E136" s="14">
        <f t="shared" si="9"/>
        <v>190.98051210318044</v>
      </c>
      <c r="F136" s="14">
        <f t="shared" si="10"/>
        <v>187.68518722727782</v>
      </c>
    </row>
    <row r="137" spans="2:6" x14ac:dyDescent="0.35">
      <c r="B137">
        <v>76</v>
      </c>
      <c r="C137" s="14">
        <f t="shared" si="13"/>
        <v>2.9536853664271341</v>
      </c>
      <c r="D137" s="14">
        <f t="shared" si="14"/>
        <v>5.7314028345350589</v>
      </c>
      <c r="E137" s="14">
        <f t="shared" si="9"/>
        <v>190.98335289294113</v>
      </c>
      <c r="F137" s="14">
        <f t="shared" si="10"/>
        <v>187.69580782855141</v>
      </c>
    </row>
    <row r="138" spans="2:6" x14ac:dyDescent="0.35">
      <c r="B138">
        <v>76.25</v>
      </c>
      <c r="C138" s="14">
        <f t="shared" si="13"/>
        <v>2.951863913761914</v>
      </c>
      <c r="D138" s="14">
        <f t="shared" si="14"/>
        <v>5.7179183150136019</v>
      </c>
      <c r="E138" s="14">
        <f t="shared" ref="E138:E201" si="15">$C$37*$C$39/9.81*($C$33*SQRT(2/($C$33-1)*(2/($C$33+1))^(($C$33+1)/($C$33-1))*(1 - (B138/$H$20)^(($C$33-1)/$C$33))) + D138/$H$20*(B138 - $C$28))</f>
        <v>190.98603912546935</v>
      </c>
      <c r="F138" s="14">
        <f t="shared" ref="F138:F201" si="16">$C$37*$C$39/9.81*($C$33*SQRT(2/($C$33-1)*(2/($C$33+1))^(($C$33+1)/($C$33-1))*(1 - (B138/$H$20)^(($C$33-1)/$C$33))) + D138/$H$20*(B138 - $C$27))</f>
        <v>187.70622881064764</v>
      </c>
    </row>
    <row r="139" spans="2:6" x14ac:dyDescent="0.35">
      <c r="B139">
        <v>76.5</v>
      </c>
      <c r="C139" s="14">
        <f t="shared" si="13"/>
        <v>2.9500484348142555</v>
      </c>
      <c r="D139" s="14">
        <f t="shared" si="14"/>
        <v>5.704511643948166</v>
      </c>
      <c r="E139" s="14">
        <f t="shared" si="15"/>
        <v>190.98857254429535</v>
      </c>
      <c r="F139" s="14">
        <f t="shared" si="16"/>
        <v>187.71645232499887</v>
      </c>
    </row>
    <row r="140" spans="2:6" x14ac:dyDescent="0.35">
      <c r="B140">
        <v>76.75</v>
      </c>
      <c r="C140" s="14">
        <f t="shared" si="13"/>
        <v>2.9482388898893324</v>
      </c>
      <c r="D140" s="14">
        <f t="shared" si="14"/>
        <v>5.6911821189557807</v>
      </c>
      <c r="E140" s="14">
        <f t="shared" si="15"/>
        <v>190.99095486953814</v>
      </c>
      <c r="F140" s="14">
        <f t="shared" si="16"/>
        <v>187.7264804946125</v>
      </c>
    </row>
    <row r="141" spans="2:6" x14ac:dyDescent="0.35">
      <c r="B141">
        <v>77</v>
      </c>
      <c r="C141" s="14">
        <f t="shared" si="13"/>
        <v>2.9464352396852016</v>
      </c>
      <c r="D141" s="14">
        <f t="shared" si="14"/>
        <v>5.677929046258793</v>
      </c>
      <c r="E141" s="14">
        <f t="shared" si="15"/>
        <v>190.99318779828621</v>
      </c>
      <c r="F141" s="14">
        <f t="shared" si="16"/>
        <v>187.73631541452937</v>
      </c>
    </row>
    <row r="142" spans="2:6" x14ac:dyDescent="0.35">
      <c r="B142">
        <v>77.25</v>
      </c>
      <c r="C142" s="14">
        <f t="shared" si="13"/>
        <v>2.9446374452876451</v>
      </c>
      <c r="D142" s="14">
        <f t="shared" si="14"/>
        <v>5.6647517405518872</v>
      </c>
      <c r="E142" s="14">
        <f t="shared" si="15"/>
        <v>190.99527300497118</v>
      </c>
      <c r="F142" s="14">
        <f t="shared" si="16"/>
        <v>187.74595915227374</v>
      </c>
    </row>
    <row r="143" spans="2:6" x14ac:dyDescent="0.35">
      <c r="B143">
        <v>77.5</v>
      </c>
      <c r="C143" s="14">
        <f t="shared" si="13"/>
        <v>2.9428454681650993</v>
      </c>
      <c r="D143" s="14">
        <f t="shared" si="14"/>
        <v>5.6516495248714831</v>
      </c>
      <c r="E143" s="14">
        <f t="shared" si="15"/>
        <v>190.99721214173422</v>
      </c>
      <c r="F143" s="14">
        <f t="shared" si="16"/>
        <v>187.7554137482945</v>
      </c>
    </row>
    <row r="144" spans="2:6" x14ac:dyDescent="0.35">
      <c r="B144">
        <v>77.75</v>
      </c>
      <c r="C144" s="14">
        <f t="shared" si="13"/>
        <v>2.941059270163672</v>
      </c>
      <c r="D144" s="14">
        <f t="shared" si="14"/>
        <v>5.6386217304677144</v>
      </c>
      <c r="E144" s="14">
        <f t="shared" si="15"/>
        <v>190.99900683878539</v>
      </c>
      <c r="F144" s="14">
        <f t="shared" si="16"/>
        <v>187.76468121639815</v>
      </c>
    </row>
    <row r="145" spans="2:6" x14ac:dyDescent="0.35">
      <c r="B145">
        <v>78</v>
      </c>
      <c r="C145" s="14">
        <f t="shared" si="13"/>
        <v>2.9392788135022268</v>
      </c>
      <c r="D145" s="14">
        <f t="shared" si="14"/>
        <v>5.625667696678649</v>
      </c>
      <c r="E145" s="14">
        <f t="shared" si="15"/>
        <v>191.00065870475612</v>
      </c>
      <c r="F145" s="14">
        <f t="shared" si="16"/>
        <v>187.77376354417322</v>
      </c>
    </row>
    <row r="146" spans="2:6" x14ac:dyDescent="0.35">
      <c r="B146">
        <v>78.25</v>
      </c>
      <c r="C146" s="14">
        <f t="shared" si="13"/>
        <v>2.9375040607675622</v>
      </c>
      <c r="D146" s="14">
        <f t="shared" si="14"/>
        <v>5.612786770806899</v>
      </c>
      <c r="E146" s="14">
        <f t="shared" si="15"/>
        <v>191.00216932704521</v>
      </c>
      <c r="F146" s="14">
        <f t="shared" si="16"/>
        <v>187.78266269340708</v>
      </c>
    </row>
    <row r="147" spans="2:6" x14ac:dyDescent="0.35">
      <c r="B147">
        <v>78.5</v>
      </c>
      <c r="C147" s="14">
        <f t="shared" si="13"/>
        <v>2.9357349749096562</v>
      </c>
      <c r="D147" s="14">
        <f t="shared" si="14"/>
        <v>5.5999783079984562</v>
      </c>
      <c r="E147" s="14">
        <f t="shared" si="15"/>
        <v>191.00354027215784</v>
      </c>
      <c r="F147" s="14">
        <f t="shared" si="16"/>
        <v>187.79138060049462</v>
      </c>
    </row>
    <row r="148" spans="2:6" x14ac:dyDescent="0.35">
      <c r="B148">
        <v>78.75</v>
      </c>
      <c r="C148" s="14">
        <f t="shared" si="13"/>
        <v>2.9339715192369957</v>
      </c>
      <c r="D148" s="14">
        <f t="shared" si="14"/>
        <v>5.5872416711238273</v>
      </c>
      <c r="E148" s="14">
        <f t="shared" si="15"/>
        <v>191.00477308603848</v>
      </c>
      <c r="F148" s="14">
        <f t="shared" si="16"/>
        <v>187.79991917683918</v>
      </c>
    </row>
    <row r="149" spans="2:6" x14ac:dyDescent="0.35">
      <c r="B149">
        <v>79</v>
      </c>
      <c r="C149" s="14">
        <f t="shared" si="13"/>
        <v>2.9322136574119742</v>
      </c>
      <c r="D149" s="14">
        <f t="shared" si="14"/>
        <v>5.5745762306612292</v>
      </c>
      <c r="E149" s="14">
        <f t="shared" si="15"/>
        <v>191.00586929439751</v>
      </c>
      <c r="F149" s="14">
        <f t="shared" si="16"/>
        <v>187.80828030924619</v>
      </c>
    </row>
    <row r="150" spans="2:6" x14ac:dyDescent="0.35">
      <c r="B150">
        <v>79.25</v>
      </c>
      <c r="C150" s="14">
        <f t="shared" si="13"/>
        <v>2.9304613534463706</v>
      </c>
      <c r="D150" s="14">
        <f t="shared" si="14"/>
        <v>5.5619813645820155</v>
      </c>
      <c r="E150" s="14">
        <f t="shared" si="15"/>
        <v>191.00683040303161</v>
      </c>
      <c r="F150" s="14">
        <f t="shared" si="16"/>
        <v>187.81646586030928</v>
      </c>
    </row>
    <row r="151" spans="2:6" x14ac:dyDescent="0.35">
      <c r="B151">
        <v>79.5</v>
      </c>
      <c r="C151" s="14">
        <f t="shared" si="13"/>
        <v>2.9287145716968888</v>
      </c>
      <c r="D151" s="14">
        <f t="shared" si="14"/>
        <v>5.5494564582381187</v>
      </c>
      <c r="E151" s="14">
        <f t="shared" si="15"/>
        <v>191.00765789813798</v>
      </c>
      <c r="F151" s="14">
        <f t="shared" si="16"/>
        <v>187.82447766878909</v>
      </c>
    </row>
    <row r="152" spans="2:6" x14ac:dyDescent="0.35">
      <c r="B152">
        <v>79.75</v>
      </c>
      <c r="C152" s="14">
        <f t="shared" si="13"/>
        <v>2.9269732768607808</v>
      </c>
      <c r="D152" s="14">
        <f t="shared" si="14"/>
        <v>5.53700090425159</v>
      </c>
      <c r="E152" s="14">
        <f t="shared" si="15"/>
        <v>191.00835324662316</v>
      </c>
      <c r="F152" s="14">
        <f t="shared" si="16"/>
        <v>187.83231754998548</v>
      </c>
    </row>
    <row r="153" spans="2:6" x14ac:dyDescent="0.35">
      <c r="B153">
        <v>80</v>
      </c>
      <c r="C153" s="14">
        <f t="shared" si="13"/>
        <v>2.9252374339715286</v>
      </c>
      <c r="D153" s="14">
        <f t="shared" si="14"/>
        <v>5.524614102406062</v>
      </c>
      <c r="E153" s="14">
        <f t="shared" si="15"/>
        <v>191.00891789640553</v>
      </c>
      <c r="F153" s="14">
        <f t="shared" si="16"/>
        <v>187.83998729610232</v>
      </c>
    </row>
    <row r="154" spans="2:6" x14ac:dyDescent="0.35">
      <c r="B154">
        <v>80.25</v>
      </c>
      <c r="C154" s="14">
        <f t="shared" si="13"/>
        <v>2.9235070083945995</v>
      </c>
      <c r="D154" s="14">
        <f t="shared" si="14"/>
        <v>5.5122954595402049</v>
      </c>
      <c r="E154" s="14">
        <f t="shared" si="15"/>
        <v>191.00935327671269</v>
      </c>
      <c r="F154" s="14">
        <f t="shared" si="16"/>
        <v>187.84748867660574</v>
      </c>
    </row>
    <row r="155" spans="2:6" x14ac:dyDescent="0.35">
      <c r="B155">
        <v>80.5</v>
      </c>
      <c r="C155" s="14">
        <f t="shared" si="13"/>
        <v>2.9217819658232687</v>
      </c>
      <c r="D155" s="14">
        <f t="shared" si="14"/>
        <v>5.5000443894431443</v>
      </c>
      <c r="E155" s="14">
        <f t="shared" si="15"/>
        <v>191.00966079837292</v>
      </c>
      <c r="F155" s="14">
        <f t="shared" si="16"/>
        <v>187.85482343857586</v>
      </c>
    </row>
    <row r="156" spans="2:6" x14ac:dyDescent="0.35">
      <c r="B156">
        <v>80.75</v>
      </c>
      <c r="C156" s="14">
        <f t="shared" si="13"/>
        <v>2.9200622722745018</v>
      </c>
      <c r="D156" s="14">
        <f t="shared" si="14"/>
        <v>5.4878603127516294</v>
      </c>
      <c r="E156" s="14">
        <f t="shared" si="15"/>
        <v>191.00984185410158</v>
      </c>
      <c r="F156" s="14">
        <f t="shared" si="16"/>
        <v>187.86199330705205</v>
      </c>
    </row>
    <row r="157" spans="2:6" x14ac:dyDescent="0.35">
      <c r="B157">
        <v>81</v>
      </c>
      <c r="C157" s="14">
        <f t="shared" si="13"/>
        <v>2.9183478940849072</v>
      </c>
      <c r="D157" s="14">
        <f t="shared" si="14"/>
        <v>5.4757426568491256</v>
      </c>
      <c r="E157" s="14">
        <f t="shared" si="15"/>
        <v>191.00989781878201</v>
      </c>
      <c r="F157" s="14">
        <f t="shared" si="16"/>
        <v>187.86899998537174</v>
      </c>
    </row>
    <row r="158" spans="2:6" x14ac:dyDescent="0.35">
      <c r="B158">
        <v>81.25</v>
      </c>
      <c r="C158" s="14">
        <f t="shared" si="13"/>
        <v>2.9166387979067521</v>
      </c>
      <c r="D158" s="14">
        <f t="shared" si="14"/>
        <v>5.4636908557667203</v>
      </c>
      <c r="E158" s="14">
        <f t="shared" si="15"/>
        <v>191.00983004974145</v>
      </c>
      <c r="F158" s="14">
        <f t="shared" si="16"/>
        <v>187.87584515550324</v>
      </c>
    </row>
    <row r="159" spans="2:6" x14ac:dyDescent="0.35">
      <c r="B159">
        <v>81.5</v>
      </c>
      <c r="C159" s="14">
        <f t="shared" si="13"/>
        <v>2.9149349507040325</v>
      </c>
      <c r="D159" s="14">
        <f t="shared" si="14"/>
        <v>5.4517043500856808</v>
      </c>
      <c r="E159" s="14">
        <f t="shared" si="15"/>
        <v>191.00963988702171</v>
      </c>
      <c r="F159" s="14">
        <f t="shared" si="16"/>
        <v>187.88253047837205</v>
      </c>
    </row>
    <row r="160" spans="2:6" x14ac:dyDescent="0.35">
      <c r="B160">
        <v>81.75</v>
      </c>
      <c r="C160" s="14">
        <f t="shared" si="13"/>
        <v>2.9132363197486115</v>
      </c>
      <c r="D160" s="14">
        <f t="shared" si="14"/>
        <v>5.4397825868418153</v>
      </c>
      <c r="E160" s="14">
        <f t="shared" si="15"/>
        <v>191.00932865364507</v>
      </c>
      <c r="F160" s="14">
        <f t="shared" si="16"/>
        <v>187.88905759418193</v>
      </c>
    </row>
    <row r="161" spans="2:7" x14ac:dyDescent="0.35">
      <c r="B161">
        <v>82</v>
      </c>
      <c r="C161" s="14">
        <f t="shared" si="13"/>
        <v>2.9115428726164185</v>
      </c>
      <c r="D161" s="14">
        <f t="shared" si="14"/>
        <v>5.42792501943154</v>
      </c>
      <c r="E161" s="14">
        <f t="shared" si="15"/>
        <v>191.0088976558753</v>
      </c>
      <c r="F161" s="14">
        <f t="shared" si="16"/>
        <v>187.89542812272967</v>
      </c>
    </row>
    <row r="162" spans="2:7" x14ac:dyDescent="0.35">
      <c r="B162">
        <v>82.25</v>
      </c>
      <c r="C162" s="14">
        <f t="shared" si="13"/>
        <v>2.9098545771836961</v>
      </c>
      <c r="D162" s="14">
        <f t="shared" si="14"/>
        <v>5.4161311075194938</v>
      </c>
      <c r="E162" s="14">
        <f t="shared" si="15"/>
        <v>191.00834818347394</v>
      </c>
      <c r="F162" s="14">
        <f t="shared" si="16"/>
        <v>187.90164366371431</v>
      </c>
    </row>
    <row r="163" spans="2:7" x14ac:dyDescent="0.35">
      <c r="B163">
        <v>82.5</v>
      </c>
      <c r="C163" s="14">
        <f t="shared" si="13"/>
        <v>2.9081714016233176</v>
      </c>
      <c r="D163" s="14">
        <f t="shared" si="14"/>
        <v>5.4044003169478643</v>
      </c>
      <c r="E163" s="14">
        <f t="shared" si="15"/>
        <v>191.00768150995188</v>
      </c>
      <c r="F163" s="14">
        <f t="shared" si="16"/>
        <v>187.90770579704088</v>
      </c>
    </row>
    <row r="164" spans="2:7" x14ac:dyDescent="0.35">
      <c r="B164">
        <v>82.75</v>
      </c>
      <c r="C164" s="14">
        <f t="shared" si="13"/>
        <v>2.9064933144011516</v>
      </c>
      <c r="D164" s="14">
        <f t="shared" si="14"/>
        <v>5.3927321196472651</v>
      </c>
      <c r="E164" s="14">
        <f t="shared" si="15"/>
        <v>191.00689889281654</v>
      </c>
      <c r="F164" s="14">
        <f t="shared" si="16"/>
        <v>187.91361608311846</v>
      </c>
    </row>
    <row r="165" spans="2:7" x14ac:dyDescent="0.35">
      <c r="B165">
        <v>83</v>
      </c>
      <c r="C165" s="14">
        <f t="shared" si="13"/>
        <v>2.9048202842724864</v>
      </c>
      <c r="D165" s="14">
        <f t="shared" si="14"/>
        <v>5.3811259935491442</v>
      </c>
      <c r="E165" s="14">
        <f t="shared" si="15"/>
        <v>191.00600157381427</v>
      </c>
      <c r="F165" s="14">
        <f t="shared" si="16"/>
        <v>187.91937606315309</v>
      </c>
    </row>
    <row r="166" spans="2:7" x14ac:dyDescent="0.35">
      <c r="B166">
        <v>83.25</v>
      </c>
      <c r="C166" s="14">
        <f t="shared" si="13"/>
        <v>2.9031522802785084</v>
      </c>
      <c r="D166" s="14">
        <f t="shared" si="14"/>
        <v>5.3695814224997687</v>
      </c>
      <c r="E166" s="14">
        <f t="shared" si="15"/>
        <v>191.00499077916908</v>
      </c>
      <c r="F166" s="14">
        <f t="shared" si="16"/>
        <v>187.92498725943574</v>
      </c>
    </row>
    <row r="167" spans="2:7" x14ac:dyDescent="0.35">
      <c r="B167">
        <v>83.5</v>
      </c>
      <c r="C167" s="14">
        <f t="shared" si="13"/>
        <v>2.9014892717428289</v>
      </c>
      <c r="D167" s="14">
        <f t="shared" si="14"/>
        <v>5.3580978961755976</v>
      </c>
      <c r="E167" s="14">
        <f t="shared" si="15"/>
        <v>191.00386771981624</v>
      </c>
      <c r="F167" s="14">
        <f t="shared" si="16"/>
        <v>187.93045117562426</v>
      </c>
    </row>
    <row r="168" spans="2:7" x14ac:dyDescent="0.35">
      <c r="B168">
        <v>83.75</v>
      </c>
      <c r="C168" s="14">
        <f t="shared" ref="C168:C199" si="17">SQRT(2/($C$33-1)*((B168/$H$20)^((1-$C$33)/$C$33) - 1))</f>
        <v>2.8998312282680736</v>
      </c>
      <c r="D168" s="14">
        <f t="shared" ref="D168:D199" si="18">1/C168*(2/($C$33+1)*(1 + ($C$33-1)/2*C168^2))^(($C$33+1)/(2*$C$33-2))</f>
        <v>5.3466749100002389</v>
      </c>
      <c r="E168" s="14">
        <f t="shared" si="15"/>
        <v>191.00263359163256</v>
      </c>
      <c r="F168" s="14">
        <f t="shared" si="16"/>
        <v>187.93576929702164</v>
      </c>
    </row>
    <row r="169" spans="2:7" x14ac:dyDescent="0.35">
      <c r="B169" s="73">
        <v>84</v>
      </c>
      <c r="C169" s="74">
        <f t="shared" si="17"/>
        <v>2.8981781197325112</v>
      </c>
      <c r="D169" s="74">
        <f t="shared" si="18"/>
        <v>5.3353119650627363</v>
      </c>
      <c r="E169" s="74">
        <f t="shared" si="15"/>
        <v>191.00128957566176</v>
      </c>
      <c r="F169" s="74">
        <f t="shared" si="16"/>
        <v>187.94094309084792</v>
      </c>
    </row>
    <row r="170" spans="2:7" x14ac:dyDescent="0.35">
      <c r="B170">
        <v>84.25</v>
      </c>
      <c r="C170" s="14">
        <f t="shared" si="17"/>
        <v>2.8965299162867413</v>
      </c>
      <c r="D170" s="14">
        <f t="shared" si="18"/>
        <v>5.324008568037284</v>
      </c>
      <c r="E170" s="14">
        <f t="shared" si="15"/>
        <v>190.99983683833642</v>
      </c>
      <c r="F170" s="14">
        <f t="shared" si="16"/>
        <v>187.94597400650858</v>
      </c>
    </row>
    <row r="171" spans="2:7" x14ac:dyDescent="0.35">
      <c r="B171">
        <v>84.5</v>
      </c>
      <c r="C171" s="14">
        <f t="shared" si="17"/>
        <v>2.8948865883504293</v>
      </c>
      <c r="D171" s="14">
        <f t="shared" si="18"/>
        <v>5.3127642311043468</v>
      </c>
      <c r="E171" s="14">
        <f t="shared" si="15"/>
        <v>190.99827653169606</v>
      </c>
      <c r="F171" s="14">
        <f t="shared" si="16"/>
        <v>187.95086347585737</v>
      </c>
    </row>
    <row r="172" spans="2:7" x14ac:dyDescent="0.35">
      <c r="B172">
        <v>84.75</v>
      </c>
      <c r="C172" s="14">
        <f t="shared" si="17"/>
        <v>2.8932481066090898</v>
      </c>
      <c r="D172" s="14">
        <f t="shared" si="18"/>
        <v>5.3015784718730972</v>
      </c>
      <c r="E172" s="14">
        <f t="shared" si="15"/>
        <v>190.99660979360067</v>
      </c>
      <c r="F172" s="14">
        <f t="shared" si="16"/>
        <v>187.95561291345467</v>
      </c>
    </row>
    <row r="173" spans="2:7" x14ac:dyDescent="0.35">
      <c r="B173">
        <v>85</v>
      </c>
      <c r="C173" s="14">
        <f t="shared" si="17"/>
        <v>2.891614442010916</v>
      </c>
      <c r="D173" s="14">
        <f t="shared" si="18"/>
        <v>5.290450813305136</v>
      </c>
      <c r="E173" s="14">
        <f t="shared" si="15"/>
        <v>190.99483774794155</v>
      </c>
      <c r="F173" s="14">
        <f t="shared" si="16"/>
        <v>187.9602237168221</v>
      </c>
    </row>
    <row r="174" spans="2:7" x14ac:dyDescent="0.35">
      <c r="B174">
        <v>85.25</v>
      </c>
      <c r="C174" s="14">
        <f t="shared" si="17"/>
        <v>2.8899855657636611</v>
      </c>
      <c r="D174" s="14">
        <f t="shared" si="18"/>
        <v>5.2793807836396018</v>
      </c>
      <c r="E174" s="14">
        <f t="shared" si="15"/>
        <v>190.99296150484727</v>
      </c>
      <c r="F174" s="14">
        <f t="shared" si="16"/>
        <v>187.96469726669133</v>
      </c>
      <c r="G174" s="11"/>
    </row>
    <row r="175" spans="2:7" x14ac:dyDescent="0.35">
      <c r="B175">
        <v>85.5</v>
      </c>
      <c r="C175" s="14">
        <f t="shared" si="17"/>
        <v>2.8883614493315588</v>
      </c>
      <c r="D175" s="14">
        <f t="shared" si="18"/>
        <v>5.2683679163194244</v>
      </c>
      <c r="E175" s="14">
        <f t="shared" si="15"/>
        <v>190.99098216088709</v>
      </c>
      <c r="F175" s="14">
        <f t="shared" si="16"/>
        <v>187.96903492724965</v>
      </c>
    </row>
    <row r="176" spans="2:7" x14ac:dyDescent="0.35">
      <c r="B176">
        <v>85.75</v>
      </c>
      <c r="C176" s="14">
        <f t="shared" si="17"/>
        <v>2.8867420644322972</v>
      </c>
      <c r="D176" s="14">
        <f t="shared" si="18"/>
        <v>5.2574117499189192</v>
      </c>
      <c r="E176" s="14">
        <f t="shared" si="15"/>
        <v>190.9889007992702</v>
      </c>
      <c r="F176" s="14">
        <f t="shared" si="16"/>
        <v>187.97323804638108</v>
      </c>
    </row>
    <row r="177" spans="2:6" x14ac:dyDescent="0.35">
      <c r="B177">
        <v>86</v>
      </c>
      <c r="C177" s="14">
        <f t="shared" si="17"/>
        <v>2.8851273830340292</v>
      </c>
      <c r="D177" s="14">
        <f t="shared" si="18"/>
        <v>5.2465118280725438</v>
      </c>
      <c r="E177" s="14">
        <f t="shared" si="15"/>
        <v>190.9867184900416</v>
      </c>
      <c r="F177" s="14">
        <f t="shared" si="16"/>
        <v>187.97730795590292</v>
      </c>
    </row>
    <row r="178" spans="2:6" x14ac:dyDescent="0.35">
      <c r="B178">
        <v>86.25</v>
      </c>
      <c r="C178" s="14">
        <f t="shared" si="17"/>
        <v>2.8835173773524341</v>
      </c>
      <c r="D178" s="14">
        <f t="shared" si="18"/>
        <v>5.2356676994048774</v>
      </c>
      <c r="E178" s="14">
        <f t="shared" si="15"/>
        <v>190.98443629027486</v>
      </c>
      <c r="F178" s="14">
        <f t="shared" si="16"/>
        <v>187.98124597179859</v>
      </c>
    </row>
    <row r="179" spans="2:6" x14ac:dyDescent="0.35">
      <c r="B179">
        <v>86.5</v>
      </c>
      <c r="C179" s="14">
        <f t="shared" si="17"/>
        <v>2.8819120198478165</v>
      </c>
      <c r="D179" s="14">
        <f t="shared" si="18"/>
        <v>5.2248789174617327</v>
      </c>
      <c r="E179" s="14">
        <f t="shared" si="15"/>
        <v>190.98205524426112</v>
      </c>
      <c r="F179" s="14">
        <f t="shared" si="16"/>
        <v>187.9850533944464</v>
      </c>
    </row>
    <row r="180" spans="2:6" x14ac:dyDescent="0.35">
      <c r="B180">
        <v>86.75</v>
      </c>
      <c r="C180" s="14">
        <f t="shared" si="17"/>
        <v>2.8803112832222495</v>
      </c>
      <c r="D180" s="14">
        <f t="shared" si="18"/>
        <v>5.2141450406424621</v>
      </c>
      <c r="E180" s="14">
        <f t="shared" si="15"/>
        <v>190.9795763836953</v>
      </c>
      <c r="F180" s="14">
        <f t="shared" si="16"/>
        <v>187.98873150884424</v>
      </c>
    </row>
    <row r="181" spans="2:6" x14ac:dyDescent="0.35">
      <c r="B181" s="73">
        <v>87</v>
      </c>
      <c r="C181" s="74">
        <f t="shared" si="17"/>
        <v>2.8787151404167601</v>
      </c>
      <c r="D181" s="74">
        <f t="shared" si="18"/>
        <v>5.2034656321333346</v>
      </c>
      <c r="E181" s="74">
        <f t="shared" si="15"/>
        <v>190.97700072785858</v>
      </c>
      <c r="F181" s="74">
        <f t="shared" si="16"/>
        <v>187.99228158483064</v>
      </c>
    </row>
    <row r="182" spans="2:6" x14ac:dyDescent="0.35">
      <c r="B182">
        <v>87.25</v>
      </c>
      <c r="C182" s="14">
        <f t="shared" si="17"/>
        <v>2.8771235646085564</v>
      </c>
      <c r="D182" s="14">
        <f t="shared" si="18"/>
        <v>5.1928402598420753</v>
      </c>
      <c r="E182" s="14">
        <f t="shared" si="15"/>
        <v>190.97432928379831</v>
      </c>
      <c r="F182" s="14">
        <f t="shared" si="16"/>
        <v>187.99570487730207</v>
      </c>
    </row>
    <row r="183" spans="2:6" x14ac:dyDescent="0.35">
      <c r="B183">
        <v>87.5</v>
      </c>
      <c r="C183" s="14">
        <f t="shared" si="17"/>
        <v>2.8755365292082891</v>
      </c>
      <c r="D183" s="14">
        <f t="shared" si="18"/>
        <v>5.1822684963334273</v>
      </c>
      <c r="E183" s="14">
        <f t="shared" si="15"/>
        <v>190.97156304650446</v>
      </c>
      <c r="F183" s="14">
        <f t="shared" si="16"/>
        <v>187.9990026264262</v>
      </c>
    </row>
    <row r="184" spans="2:6" x14ac:dyDescent="0.35">
      <c r="B184">
        <v>87.75</v>
      </c>
      <c r="C184" s="14">
        <f t="shared" si="17"/>
        <v>2.8739540078573613</v>
      </c>
      <c r="D184" s="14">
        <f t="shared" si="18"/>
        <v>5.1717499187658165</v>
      </c>
      <c r="E184" s="14">
        <f t="shared" si="15"/>
        <v>190.96870299908309</v>
      </c>
      <c r="F184" s="14">
        <f t="shared" si="16"/>
        <v>188.00217605785204</v>
      </c>
    </row>
    <row r="185" spans="2:6" x14ac:dyDescent="0.35">
      <c r="B185">
        <v>88</v>
      </c>
      <c r="C185" s="14">
        <f t="shared" si="17"/>
        <v>2.8723759744252679</v>
      </c>
      <c r="D185" s="14">
        <f t="shared" si="18"/>
        <v>5.1612841088290144</v>
      </c>
      <c r="E185" s="14">
        <f t="shared" si="15"/>
        <v>190.9657501129272</v>
      </c>
      <c r="F185" s="14">
        <f t="shared" si="16"/>
        <v>188.00522638291611</v>
      </c>
    </row>
    <row r="186" spans="2:6" x14ac:dyDescent="0.35">
      <c r="B186">
        <v>88.25</v>
      </c>
      <c r="C186" s="14">
        <f t="shared" si="17"/>
        <v>2.8708024030069836</v>
      </c>
      <c r="D186" s="14">
        <f t="shared" si="18"/>
        <v>5.1508706526828973</v>
      </c>
      <c r="E186" s="14">
        <f t="shared" si="15"/>
        <v>190.96270534788405</v>
      </c>
      <c r="F186" s="14">
        <f t="shared" si="16"/>
        <v>188.00815479884537</v>
      </c>
    </row>
    <row r="187" spans="2:6" x14ac:dyDescent="0.35">
      <c r="B187">
        <v>88.5</v>
      </c>
      <c r="C187" s="14">
        <f t="shared" si="17"/>
        <v>2.8692332679203734</v>
      </c>
      <c r="D187" s="14">
        <f t="shared" si="18"/>
        <v>5.1405091408970893</v>
      </c>
      <c r="E187" s="14">
        <f t="shared" si="15"/>
        <v>190.9595696524205</v>
      </c>
      <c r="F187" s="14">
        <f t="shared" si="16"/>
        <v>188.01096248895681</v>
      </c>
    </row>
    <row r="188" spans="2:6" x14ac:dyDescent="0.35">
      <c r="B188">
        <v>88.75</v>
      </c>
      <c r="C188" s="14">
        <f t="shared" si="17"/>
        <v>2.8676685437036569</v>
      </c>
      <c r="D188" s="14">
        <f t="shared" si="18"/>
        <v>5.1301991683917141</v>
      </c>
      <c r="E188" s="14">
        <f t="shared" si="15"/>
        <v>190.9563439637848</v>
      </c>
      <c r="F188" s="14">
        <f t="shared" si="16"/>
        <v>188.01365062285331</v>
      </c>
    </row>
    <row r="189" spans="2:6" x14ac:dyDescent="0.35">
      <c r="B189">
        <v>89</v>
      </c>
      <c r="C189" s="14">
        <f t="shared" si="17"/>
        <v>2.8661082051128952</v>
      </c>
      <c r="D189" s="14">
        <f t="shared" si="18"/>
        <v>5.119940334378998</v>
      </c>
      <c r="E189" s="14">
        <f t="shared" si="15"/>
        <v>190.9530292081661</v>
      </c>
      <c r="F189" s="14">
        <f t="shared" si="16"/>
        <v>188.01622035661677</v>
      </c>
    </row>
    <row r="190" spans="2:6" x14ac:dyDescent="0.35">
      <c r="B190">
        <v>89.25</v>
      </c>
      <c r="C190" s="14">
        <f t="shared" si="17"/>
        <v>2.8645522271195198</v>
      </c>
      <c r="D190" s="14">
        <f t="shared" si="18"/>
        <v>5.1097322423058786</v>
      </c>
      <c r="E190" s="14">
        <f t="shared" si="15"/>
        <v>190.94962630085081</v>
      </c>
      <c r="F190" s="14">
        <f t="shared" si="16"/>
        <v>188.0186728329974</v>
      </c>
    </row>
    <row r="191" spans="2:6" x14ac:dyDescent="0.35">
      <c r="B191">
        <v>89.5</v>
      </c>
      <c r="C191" s="14">
        <f t="shared" si="17"/>
        <v>2.8630005849078972</v>
      </c>
      <c r="D191" s="14">
        <f t="shared" si="18"/>
        <v>5.0995744997975487</v>
      </c>
      <c r="E191" s="14">
        <f t="shared" si="15"/>
        <v>190.9461361463774</v>
      </c>
      <c r="F191" s="14">
        <f t="shared" si="16"/>
        <v>188.02100918160053</v>
      </c>
    </row>
    <row r="192" spans="2:6" x14ac:dyDescent="0.35">
      <c r="B192">
        <v>89.75</v>
      </c>
      <c r="C192" s="14">
        <f t="shared" si="17"/>
        <v>2.8614532538729223</v>
      </c>
      <c r="D192" s="14">
        <f t="shared" si="18"/>
        <v>5.0894667186018632</v>
      </c>
      <c r="E192" s="14">
        <f t="shared" si="15"/>
        <v>190.94255963868704</v>
      </c>
      <c r="F192" s="14">
        <f t="shared" si="16"/>
        <v>188.02323051906978</v>
      </c>
    </row>
    <row r="193" spans="2:6" x14ac:dyDescent="0.35">
      <c r="B193">
        <v>90</v>
      </c>
      <c r="C193" s="14">
        <f t="shared" si="17"/>
        <v>2.8599102096176536</v>
      </c>
      <c r="D193" s="14">
        <f t="shared" si="18"/>
        <v>5.0794085145346726</v>
      </c>
      <c r="E193" s="14">
        <f t="shared" si="15"/>
        <v>190.9388976612733</v>
      </c>
      <c r="F193" s="14">
        <f t="shared" si="16"/>
        <v>188.02533794926745</v>
      </c>
    </row>
    <row r="194" spans="2:6" x14ac:dyDescent="0.35">
      <c r="B194">
        <v>90.25</v>
      </c>
      <c r="C194" s="14">
        <f t="shared" si="17"/>
        <v>2.8583714279509711</v>
      </c>
      <c r="D194" s="14">
        <f t="shared" si="18"/>
        <v>5.0693995074260103</v>
      </c>
      <c r="E194" s="14">
        <f t="shared" si="15"/>
        <v>190.93515108732822</v>
      </c>
      <c r="F194" s="14">
        <f t="shared" si="16"/>
        <v>188.02733256345195</v>
      </c>
    </row>
    <row r="195" spans="2:6" x14ac:dyDescent="0.35">
      <c r="B195">
        <v>90.5</v>
      </c>
      <c r="C195" s="14">
        <f t="shared" si="17"/>
        <v>2.8568368848852779</v>
      </c>
      <c r="D195" s="14">
        <f t="shared" si="18"/>
        <v>5.059439321067166</v>
      </c>
      <c r="E195" s="14">
        <f t="shared" si="15"/>
        <v>190.93132077988651</v>
      </c>
      <c r="F195" s="14">
        <f t="shared" si="16"/>
        <v>188.02921544045216</v>
      </c>
    </row>
    <row r="196" spans="2:6" x14ac:dyDescent="0.35">
      <c r="B196">
        <v>90.75</v>
      </c>
      <c r="C196" s="14">
        <f t="shared" si="17"/>
        <v>2.8553065566342259</v>
      </c>
      <c r="D196" s="14">
        <f t="shared" si="18"/>
        <v>5.0495275831585538</v>
      </c>
      <c r="E196" s="14">
        <f t="shared" si="15"/>
        <v>190.92740759196747</v>
      </c>
      <c r="F196" s="14">
        <f t="shared" si="16"/>
        <v>188.03098764683909</v>
      </c>
    </row>
    <row r="197" spans="2:6" x14ac:dyDescent="0.35">
      <c r="B197">
        <v>91</v>
      </c>
      <c r="C197" s="14">
        <f t="shared" si="17"/>
        <v>2.853780419610477</v>
      </c>
      <c r="D197" s="14">
        <f t="shared" si="18"/>
        <v>5.0396639252584787</v>
      </c>
      <c r="E197" s="14">
        <f t="shared" si="15"/>
        <v>190.92341236671388</v>
      </c>
      <c r="F197" s="14">
        <f t="shared" si="16"/>
        <v>188.03265023709466</v>
      </c>
    </row>
    <row r="198" spans="2:6" x14ac:dyDescent="0.35">
      <c r="B198">
        <v>91.25</v>
      </c>
      <c r="C198" s="14">
        <f t="shared" si="17"/>
        <v>2.852258450423494</v>
      </c>
      <c r="D198" s="14">
        <f t="shared" si="18"/>
        <v>5.0298479827326377</v>
      </c>
      <c r="E198" s="14">
        <f t="shared" si="15"/>
        <v>190.9193359375297</v>
      </c>
      <c r="F198" s="14">
        <f t="shared" si="16"/>
        <v>188.03420425377769</v>
      </c>
    </row>
    <row r="199" spans="2:6" x14ac:dyDescent="0.35">
      <c r="B199">
        <v>91.5</v>
      </c>
      <c r="C199" s="14">
        <f t="shared" si="17"/>
        <v>2.8507406258773624</v>
      </c>
      <c r="D199" s="14">
        <f t="shared" si="18"/>
        <v>5.0200793947044726</v>
      </c>
      <c r="E199" s="14">
        <f t="shared" si="15"/>
        <v>190.91517912821442</v>
      </c>
      <c r="F199" s="14">
        <f t="shared" si="16"/>
        <v>188.03565072768737</v>
      </c>
    </row>
    <row r="200" spans="2:6" x14ac:dyDescent="0.35">
      <c r="B200">
        <v>91.75</v>
      </c>
      <c r="C200" s="14">
        <f t="shared" ref="C200:C231" si="19">SQRT(2/($C$33-1)*((B200/$H$20)^((1-$C$33)/$C$33) - 1))</f>
        <v>2.8492269229686409</v>
      </c>
      <c r="D200" s="14">
        <f t="shared" ref="D200:D231" si="20">1/C200*(2/($C$33+1)*(1 + ($C$33-1)/2*C200^2))^(($C$33+1)/(2*$C$33-2))</f>
        <v>5.0103578040062837</v>
      </c>
      <c r="E200" s="14">
        <f t="shared" si="15"/>
        <v>190.91094275309598</v>
      </c>
      <c r="F200" s="14">
        <f t="shared" si="16"/>
        <v>188.0369906780237</v>
      </c>
    </row>
    <row r="201" spans="2:6" x14ac:dyDescent="0.35">
      <c r="B201">
        <v>92</v>
      </c>
      <c r="C201" s="14">
        <f t="shared" si="19"/>
        <v>2.8477173188842437</v>
      </c>
      <c r="D201" s="14">
        <f t="shared" si="20"/>
        <v>5.0006828571310837</v>
      </c>
      <c r="E201" s="14">
        <f t="shared" si="15"/>
        <v>190.90662761716104</v>
      </c>
      <c r="F201" s="14">
        <f t="shared" si="16"/>
        <v>188.03822511254577</v>
      </c>
    </row>
    <row r="202" spans="2:6" x14ac:dyDescent="0.35">
      <c r="B202">
        <v>92.25</v>
      </c>
      <c r="C202" s="14">
        <f t="shared" si="19"/>
        <v>2.8462117909993512</v>
      </c>
      <c r="D202" s="14">
        <f t="shared" si="20"/>
        <v>4.9910542041852892</v>
      </c>
      <c r="E202" s="14">
        <f t="shared" ref="E202:E253" si="21">$C$37*$C$39/9.81*($C$33*SQRT(2/($C$33-1)*(2/($C$33+1))^(($C$33+1)/($C$33-1))*(1 - (B202/$H$20)^(($C$33-1)/$C$33))) + D202/$H$20*(B202 - $C$28))</f>
        <v>190.90223451618354</v>
      </c>
      <c r="F202" s="14">
        <f t="shared" ref="F202:F253" si="22">$C$37*$C$39/9.81*($C$33*SQRT(2/($C$33-1)*(2/($C$33+1))^(($C$33+1)/($C$33-1))*(1 - (B202/$H$20)^(($C$33-1)/$C$33))) + D202/$H$20*(B202 - $C$27))</f>
        <v>188.03935502772723</v>
      </c>
    </row>
    <row r="203" spans="2:6" x14ac:dyDescent="0.35">
      <c r="B203">
        <v>92.5</v>
      </c>
      <c r="C203" s="14">
        <f t="shared" si="19"/>
        <v>2.8447103168753478</v>
      </c>
      <c r="D203" s="14">
        <f t="shared" si="20"/>
        <v>4.9814714988420503</v>
      </c>
      <c r="E203" s="14">
        <f t="shared" si="21"/>
        <v>190.8977642368508</v>
      </c>
      <c r="F203" s="14">
        <f t="shared" si="22"/>
        <v>188.04038140890924</v>
      </c>
    </row>
    <row r="204" spans="2:6" x14ac:dyDescent="0.35">
      <c r="B204">
        <v>92.75</v>
      </c>
      <c r="C204" s="14">
        <f t="shared" si="19"/>
        <v>2.8432128742577865</v>
      </c>
      <c r="D204" s="14">
        <f t="shared" si="20"/>
        <v>4.9719343982953408</v>
      </c>
      <c r="E204" s="14">
        <f t="shared" si="21"/>
        <v>190.89321755688789</v>
      </c>
      <c r="F204" s="14">
        <f t="shared" si="22"/>
        <v>188.04130523045114</v>
      </c>
    </row>
    <row r="205" spans="2:6" x14ac:dyDescent="0.35">
      <c r="B205">
        <v>93</v>
      </c>
      <c r="C205" s="14">
        <f t="shared" si="19"/>
        <v>2.8417194410743885</v>
      </c>
      <c r="D205" s="14">
        <f t="shared" si="20"/>
        <v>4.9624425632148359</v>
      </c>
      <c r="E205" s="14">
        <f t="shared" si="21"/>
        <v>190.8885952451798</v>
      </c>
      <c r="F205" s="14">
        <f t="shared" si="22"/>
        <v>188.04212745587847</v>
      </c>
    </row>
    <row r="206" spans="2:6" x14ac:dyDescent="0.35">
      <c r="B206">
        <v>93.25</v>
      </c>
      <c r="C206" s="14">
        <f t="shared" si="19"/>
        <v>2.8402299954330608</v>
      </c>
      <c r="D206" s="14">
        <f t="shared" si="20"/>
        <v>4.9529956577013587</v>
      </c>
      <c r="E206" s="14">
        <f t="shared" si="21"/>
        <v>190.88389806189167</v>
      </c>
      <c r="F206" s="14">
        <f t="shared" si="22"/>
        <v>188.04284903802898</v>
      </c>
    </row>
    <row r="207" spans="2:6" x14ac:dyDescent="0.35">
      <c r="B207">
        <v>93.5</v>
      </c>
      <c r="C207" s="14">
        <f t="shared" si="19"/>
        <v>2.8387445156199451</v>
      </c>
      <c r="D207" s="14">
        <f t="shared" si="20"/>
        <v>4.9435933492431126</v>
      </c>
      <c r="E207" s="14">
        <f t="shared" si="21"/>
        <v>190.8791267585872</v>
      </c>
      <c r="F207" s="14">
        <f t="shared" si="22"/>
        <v>188.04347091919578</v>
      </c>
    </row>
    <row r="208" spans="2:6" x14ac:dyDescent="0.35">
      <c r="B208">
        <v>93.75</v>
      </c>
      <c r="C208" s="14">
        <f t="shared" si="19"/>
        <v>2.8372629800974947</v>
      </c>
      <c r="D208" s="14">
        <f t="shared" si="20"/>
        <v>4.9342353086725508</v>
      </c>
      <c r="E208" s="14">
        <f t="shared" si="21"/>
        <v>190.87428207834515</v>
      </c>
      <c r="F208" s="14">
        <f t="shared" si="22"/>
        <v>188.04399403126885</v>
      </c>
    </row>
    <row r="209" spans="2:6" x14ac:dyDescent="0.35">
      <c r="B209">
        <v>94</v>
      </c>
      <c r="C209" s="14">
        <f t="shared" si="19"/>
        <v>2.8357853675025715</v>
      </c>
      <c r="D209" s="14">
        <f t="shared" si="20"/>
        <v>4.9249212101239106</v>
      </c>
      <c r="E209" s="14">
        <f t="shared" si="21"/>
        <v>190.86936475587362</v>
      </c>
      <c r="F209" s="14">
        <f t="shared" si="22"/>
        <v>188.04441929587364</v>
      </c>
    </row>
    <row r="210" spans="2:6" x14ac:dyDescent="0.35">
      <c r="B210">
        <v>94.25</v>
      </c>
      <c r="C210" s="14">
        <f t="shared" si="19"/>
        <v>2.8343116566445752</v>
      </c>
      <c r="D210" s="14">
        <f t="shared" si="20"/>
        <v>4.9156507309914099</v>
      </c>
      <c r="E210" s="14">
        <f t="shared" si="21"/>
        <v>190.86437551762327</v>
      </c>
      <c r="F210" s="14">
        <f t="shared" si="22"/>
        <v>188.04474762450809</v>
      </c>
    </row>
    <row r="211" spans="2:6" x14ac:dyDescent="0.35">
      <c r="B211">
        <v>94.5</v>
      </c>
      <c r="C211" s="14">
        <f t="shared" si="19"/>
        <v>2.8328418265035928</v>
      </c>
      <c r="D211" s="14">
        <f t="shared" si="20"/>
        <v>4.9064235518880635</v>
      </c>
      <c r="E211" s="14">
        <f t="shared" si="21"/>
        <v>190.85931508189788</v>
      </c>
      <c r="F211" s="14">
        <f t="shared" si="22"/>
        <v>188.04497991867714</v>
      </c>
    </row>
    <row r="212" spans="2:6" x14ac:dyDescent="0.35">
      <c r="B212">
        <v>94.75</v>
      </c>
      <c r="C212" s="14">
        <f t="shared" si="19"/>
        <v>2.8313758562285751</v>
      </c>
      <c r="D212" s="14">
        <f t="shared" si="20"/>
        <v>4.8972393566051435</v>
      </c>
      <c r="E212" s="14">
        <f t="shared" si="21"/>
        <v>190.8541841589637</v>
      </c>
      <c r="F212" s="14">
        <f t="shared" si="22"/>
        <v>188.04511707002504</v>
      </c>
    </row>
    <row r="213" spans="2:6" x14ac:dyDescent="0.35">
      <c r="B213">
        <v>95</v>
      </c>
      <c r="C213" s="14">
        <f t="shared" si="19"/>
        <v>2.8299137251355351</v>
      </c>
      <c r="D213" s="14">
        <f t="shared" si="20"/>
        <v>4.8880978320722503</v>
      </c>
      <c r="E213" s="14">
        <f t="shared" si="21"/>
        <v>190.84898345115718</v>
      </c>
      <c r="F213" s="14">
        <f t="shared" si="22"/>
        <v>188.04515996046607</v>
      </c>
    </row>
    <row r="214" spans="2:6" x14ac:dyDescent="0.35">
      <c r="B214">
        <v>95.25</v>
      </c>
      <c r="C214" s="14">
        <f t="shared" si="19"/>
        <v>2.8284554127057748</v>
      </c>
      <c r="D214" s="14">
        <f t="shared" si="20"/>
        <v>4.8789986683179851</v>
      </c>
      <c r="E214" s="14">
        <f t="shared" si="21"/>
        <v>190.84371365299026</v>
      </c>
      <c r="F214" s="14">
        <f t="shared" si="22"/>
        <v>188.04510946231244</v>
      </c>
    </row>
    <row r="215" spans="2:6" x14ac:dyDescent="0.35">
      <c r="B215">
        <v>95.5</v>
      </c>
      <c r="C215" s="14">
        <f t="shared" si="19"/>
        <v>2.8270008985841288</v>
      </c>
      <c r="D215" s="14">
        <f t="shared" si="20"/>
        <v>4.8699415584312238</v>
      </c>
      <c r="E215" s="14">
        <f t="shared" si="21"/>
        <v>190.83837545125499</v>
      </c>
      <c r="F215" s="14">
        <f t="shared" si="22"/>
        <v>188.04496643840105</v>
      </c>
    </row>
    <row r="216" spans="2:6" x14ac:dyDescent="0.35">
      <c r="B216">
        <v>95.75</v>
      </c>
      <c r="C216" s="14">
        <f t="shared" si="19"/>
        <v>2.8255501625772395</v>
      </c>
      <c r="D216" s="14">
        <f t="shared" si="20"/>
        <v>4.8609261985229697</v>
      </c>
      <c r="E216" s="14">
        <f t="shared" si="21"/>
        <v>190.83296952512572</v>
      </c>
      <c r="F216" s="14">
        <f t="shared" si="22"/>
        <v>188.04473174221772</v>
      </c>
    </row>
    <row r="217" spans="2:6" x14ac:dyDescent="0.35">
      <c r="B217">
        <v>96</v>
      </c>
      <c r="C217" s="14">
        <f t="shared" si="19"/>
        <v>2.8241031846518454</v>
      </c>
      <c r="D217" s="14">
        <f t="shared" si="20"/>
        <v>4.8519522876887935</v>
      </c>
      <c r="E217" s="14">
        <f t="shared" si="21"/>
        <v>190.82749654626014</v>
      </c>
      <c r="F217" s="14">
        <f t="shared" si="22"/>
        <v>188.0444062180195</v>
      </c>
    </row>
    <row r="218" spans="2:6" x14ac:dyDescent="0.35">
      <c r="B218">
        <v>96.25</v>
      </c>
      <c r="C218" s="14">
        <f t="shared" si="19"/>
        <v>2.8226599449331014</v>
      </c>
      <c r="D218" s="14">
        <f t="shared" si="20"/>
        <v>4.8430195279718076</v>
      </c>
      <c r="E218" s="14">
        <f t="shared" si="21"/>
        <v>190.82195717889849</v>
      </c>
      <c r="F218" s="14">
        <f t="shared" si="22"/>
        <v>188.04399070095539</v>
      </c>
    </row>
    <row r="219" spans="2:6" x14ac:dyDescent="0.35">
      <c r="B219">
        <v>96.5</v>
      </c>
      <c r="C219" s="14">
        <f t="shared" si="19"/>
        <v>2.8212204237029117</v>
      </c>
      <c r="D219" s="14">
        <f t="shared" si="20"/>
        <v>4.8341276243262081</v>
      </c>
      <c r="E219" s="14">
        <f t="shared" si="21"/>
        <v>190.8163520799614</v>
      </c>
      <c r="F219" s="14">
        <f t="shared" si="22"/>
        <v>188.04348601718488</v>
      </c>
    </row>
    <row r="220" spans="2:6" x14ac:dyDescent="0.35">
      <c r="B220">
        <v>96.75</v>
      </c>
      <c r="C220" s="14">
        <f t="shared" si="19"/>
        <v>2.8197846013982955</v>
      </c>
      <c r="D220" s="14">
        <f t="shared" si="20"/>
        <v>4.8252762845813955</v>
      </c>
      <c r="E220" s="14">
        <f t="shared" si="21"/>
        <v>190.8106818991462</v>
      </c>
      <c r="F220" s="14">
        <f t="shared" si="22"/>
        <v>188.04289298399502</v>
      </c>
    </row>
    <row r="221" spans="2:6" x14ac:dyDescent="0.35">
      <c r="B221">
        <v>97</v>
      </c>
      <c r="C221" s="14">
        <f t="shared" si="19"/>
        <v>2.8183524586097612</v>
      </c>
      <c r="D221" s="14">
        <f t="shared" si="20"/>
        <v>4.8164652194065702</v>
      </c>
      <c r="E221" s="14">
        <f t="shared" si="21"/>
        <v>190.80494727902152</v>
      </c>
      <c r="F221" s="14">
        <f t="shared" si="22"/>
        <v>188.04221240991521</v>
      </c>
    </row>
    <row r="222" spans="2:6" x14ac:dyDescent="0.35">
      <c r="B222">
        <v>97.25</v>
      </c>
      <c r="C222" s="14">
        <f t="shared" si="19"/>
        <v>2.8169239760797118</v>
      </c>
      <c r="D222" s="14">
        <f t="shared" si="20"/>
        <v>4.8076941422759027</v>
      </c>
      <c r="E222" s="14">
        <f t="shared" si="21"/>
        <v>190.79914885512062</v>
      </c>
      <c r="F222" s="14">
        <f t="shared" si="22"/>
        <v>188.04144509483055</v>
      </c>
    </row>
    <row r="223" spans="2:6" x14ac:dyDescent="0.35">
      <c r="B223">
        <v>97.5</v>
      </c>
      <c r="C223" s="14">
        <f t="shared" si="19"/>
        <v>2.8154991347008695</v>
      </c>
      <c r="D223" s="14">
        <f t="shared" si="20"/>
        <v>4.798962769434171</v>
      </c>
      <c r="E223" s="14">
        <f t="shared" si="21"/>
        <v>190.79328725603361</v>
      </c>
      <c r="F223" s="14">
        <f t="shared" si="22"/>
        <v>188.04059183009377</v>
      </c>
    </row>
    <row r="224" spans="2:6" x14ac:dyDescent="0.35">
      <c r="B224">
        <v>97.75</v>
      </c>
      <c r="C224" s="14">
        <f t="shared" si="19"/>
        <v>2.8140779155147126</v>
      </c>
      <c r="D224" s="14">
        <f t="shared" si="20"/>
        <v>4.7902708198629602</v>
      </c>
      <c r="E224" s="14">
        <f t="shared" si="21"/>
        <v>190.78736310349714</v>
      </c>
      <c r="F224" s="14">
        <f t="shared" si="22"/>
        <v>188.0396533986343</v>
      </c>
    </row>
    <row r="225" spans="2:6" x14ac:dyDescent="0.35">
      <c r="B225">
        <v>98</v>
      </c>
      <c r="C225" s="14">
        <f t="shared" si="19"/>
        <v>2.8126602997099455</v>
      </c>
      <c r="D225" s="14">
        <f t="shared" si="20"/>
        <v>4.7816180152473482</v>
      </c>
      <c r="E225" s="14">
        <f t="shared" si="21"/>
        <v>190.78137701248437</v>
      </c>
      <c r="F225" s="14">
        <f t="shared" si="22"/>
        <v>188.03863057506729</v>
      </c>
    </row>
    <row r="226" spans="2:6" x14ac:dyDescent="0.35">
      <c r="B226">
        <v>98.25</v>
      </c>
      <c r="C226" s="14">
        <f t="shared" si="19"/>
        <v>2.8112462686209763</v>
      </c>
      <c r="D226" s="14">
        <f t="shared" si="20"/>
        <v>4.7730040799430045</v>
      </c>
      <c r="E226" s="14">
        <f t="shared" si="21"/>
        <v>190.77532959129189</v>
      </c>
      <c r="F226" s="14">
        <f t="shared" si="22"/>
        <v>188.03752412579954</v>
      </c>
    </row>
    <row r="227" spans="2:6" x14ac:dyDescent="0.35">
      <c r="B227">
        <v>98.5</v>
      </c>
      <c r="C227" s="14">
        <f t="shared" si="19"/>
        <v>2.8098358037264219</v>
      </c>
      <c r="D227" s="14">
        <f t="shared" si="20"/>
        <v>4.7644287409439059</v>
      </c>
      <c r="E227" s="14">
        <f t="shared" si="21"/>
        <v>190.7692214416266</v>
      </c>
      <c r="F227" s="14">
        <f t="shared" si="22"/>
        <v>188.03633480913479</v>
      </c>
    </row>
    <row r="228" spans="2:6" x14ac:dyDescent="0.35">
      <c r="B228">
        <v>98.75</v>
      </c>
      <c r="C228" s="14">
        <f t="shared" si="19"/>
        <v>2.8084288866476284</v>
      </c>
      <c r="D228" s="14">
        <f t="shared" si="20"/>
        <v>4.7558917278504058</v>
      </c>
      <c r="E228" s="14">
        <f t="shared" si="21"/>
        <v>190.76305315869044</v>
      </c>
      <c r="F228" s="14">
        <f t="shared" si="22"/>
        <v>188.03506337537681</v>
      </c>
    </row>
    <row r="229" spans="2:6" x14ac:dyDescent="0.35">
      <c r="B229">
        <v>99</v>
      </c>
      <c r="C229" s="14">
        <f t="shared" si="19"/>
        <v>2.8070254991472106</v>
      </c>
      <c r="D229" s="14">
        <f t="shared" si="20"/>
        <v>4.7473927728378262</v>
      </c>
      <c r="E229" s="14">
        <f t="shared" si="21"/>
        <v>190.75682533126425</v>
      </c>
      <c r="F229" s="14">
        <f t="shared" si="22"/>
        <v>188.03371056693129</v>
      </c>
    </row>
    <row r="230" spans="2:6" x14ac:dyDescent="0.35">
      <c r="B230">
        <v>99.25</v>
      </c>
      <c r="C230" s="14">
        <f t="shared" si="19"/>
        <v>2.805625623127614</v>
      </c>
      <c r="D230" s="14">
        <f t="shared" si="20"/>
        <v>4.7389316106255155</v>
      </c>
      <c r="E230" s="14">
        <f t="shared" si="21"/>
        <v>190.75053854179043</v>
      </c>
      <c r="F230" s="14">
        <f t="shared" si="22"/>
        <v>188.03227711840611</v>
      </c>
    </row>
    <row r="231" spans="2:6" x14ac:dyDescent="0.35">
      <c r="B231">
        <v>99.5</v>
      </c>
      <c r="C231" s="14">
        <f t="shared" si="19"/>
        <v>2.804229240629688</v>
      </c>
      <c r="D231" s="14">
        <f t="shared" si="20"/>
        <v>4.7305079784463011</v>
      </c>
      <c r="E231" s="14">
        <f t="shared" si="21"/>
        <v>190.74419336645374</v>
      </c>
      <c r="F231" s="14">
        <f t="shared" si="22"/>
        <v>188.03076375670989</v>
      </c>
    </row>
    <row r="232" spans="2:6" x14ac:dyDescent="0.35">
      <c r="B232">
        <v>99.75</v>
      </c>
      <c r="C232" s="14">
        <f t="shared" ref="C232:C253" si="23">SQRT(2/($C$33-1)*((B232/$H$20)^((1-$C$33)/$C$33) - 1))</f>
        <v>2.8028363338312841</v>
      </c>
      <c r="D232" s="14">
        <f t="shared" ref="D232:D253" si="24">1/C232*(2/($C$33+1)*(1 + ($C$33-1)/2*C232^2))^(($C$33+1)/(2*$C$33-2))</f>
        <v>4.7221216160164365</v>
      </c>
      <c r="E232" s="14">
        <f t="shared" si="21"/>
        <v>190.73779037526177</v>
      </c>
      <c r="F232" s="14">
        <f t="shared" si="22"/>
        <v>188.02917120114958</v>
      </c>
    </row>
    <row r="233" spans="2:6" x14ac:dyDescent="0.35">
      <c r="B233">
        <v>100</v>
      </c>
      <c r="C233" s="14">
        <f t="shared" si="23"/>
        <v>2.8014468850458671</v>
      </c>
      <c r="D233" s="14">
        <f t="shared" si="24"/>
        <v>4.7137722655059795</v>
      </c>
      <c r="E233" s="14">
        <f t="shared" si="21"/>
        <v>190.73133013212353</v>
      </c>
      <c r="F233" s="14">
        <f t="shared" si="22"/>
        <v>188.02750016352593</v>
      </c>
    </row>
    <row r="234" spans="2:6" x14ac:dyDescent="0.35">
      <c r="B234">
        <v>100.25</v>
      </c>
      <c r="C234" s="14">
        <f t="shared" si="23"/>
        <v>2.8000608767211461</v>
      </c>
      <c r="D234" s="14">
        <f t="shared" si="24"/>
        <v>4.7054596715095522</v>
      </c>
      <c r="E234" s="14">
        <f t="shared" si="21"/>
        <v>190.72481319492692</v>
      </c>
      <c r="F234" s="14">
        <f t="shared" si="22"/>
        <v>188.02575134822797</v>
      </c>
    </row>
    <row r="235" spans="2:6" x14ac:dyDescent="0.35">
      <c r="B235">
        <v>100.5</v>
      </c>
      <c r="C235" s="14">
        <f t="shared" si="23"/>
        <v>2.7986782914377244</v>
      </c>
      <c r="D235" s="14">
        <f t="shared" si="24"/>
        <v>4.6971835810175726</v>
      </c>
      <c r="E235" s="14">
        <f t="shared" si="21"/>
        <v>190.71824011561563</v>
      </c>
      <c r="F235" s="14">
        <f t="shared" si="22"/>
        <v>188.02392545232615</v>
      </c>
    </row>
    <row r="236" spans="2:6" x14ac:dyDescent="0.35">
      <c r="B236">
        <v>100.75</v>
      </c>
      <c r="C236" s="14">
        <f t="shared" si="23"/>
        <v>2.7972991119077601</v>
      </c>
      <c r="D236" s="14">
        <f t="shared" si="24"/>
        <v>4.688943743387874</v>
      </c>
      <c r="E236" s="14">
        <f t="shared" si="21"/>
        <v>190.71161144026397</v>
      </c>
      <c r="F236" s="14">
        <f t="shared" si="22"/>
        <v>188.02202316566377</v>
      </c>
    </row>
    <row r="237" spans="2:6" x14ac:dyDescent="0.35">
      <c r="B237">
        <v>101</v>
      </c>
      <c r="C237" s="14">
        <f t="shared" si="23"/>
        <v>2.79592332097365</v>
      </c>
      <c r="D237" s="14">
        <f t="shared" si="24"/>
        <v>4.6807399103177172</v>
      </c>
      <c r="E237" s="14">
        <f t="shared" si="21"/>
        <v>190.70492770915138</v>
      </c>
      <c r="F237" s="14">
        <f t="shared" si="22"/>
        <v>188.02004517094724</v>
      </c>
    </row>
    <row r="238" spans="2:6" x14ac:dyDescent="0.35">
      <c r="B238">
        <v>101.25</v>
      </c>
      <c r="C238" s="14">
        <f t="shared" si="23"/>
        <v>2.7945509016067263</v>
      </c>
      <c r="D238" s="14">
        <f t="shared" si="24"/>
        <v>4.6725718358162371</v>
      </c>
      <c r="E238" s="14">
        <f t="shared" si="21"/>
        <v>190.69818945683542</v>
      </c>
      <c r="F238" s="14">
        <f t="shared" si="22"/>
        <v>188.01799214383496</v>
      </c>
    </row>
    <row r="239" spans="2:6" x14ac:dyDescent="0.35">
      <c r="B239">
        <v>101.5</v>
      </c>
      <c r="C239" s="14">
        <f t="shared" si="23"/>
        <v>2.7931818369059718</v>
      </c>
      <c r="D239" s="14">
        <f t="shared" si="24"/>
        <v>4.664439276177248</v>
      </c>
      <c r="E239" s="14">
        <f t="shared" si="21"/>
        <v>190.69139721222385</v>
      </c>
      <c r="F239" s="14">
        <f t="shared" si="22"/>
        <v>188.01586475302514</v>
      </c>
    </row>
    <row r="240" spans="2:6" x14ac:dyDescent="0.35">
      <c r="B240">
        <v>101.75</v>
      </c>
      <c r="C240" s="14">
        <f t="shared" si="23"/>
        <v>2.7918161100967493</v>
      </c>
      <c r="D240" s="14">
        <f t="shared" si="24"/>
        <v>4.6563419899524634</v>
      </c>
      <c r="E240" s="14">
        <f t="shared" si="21"/>
        <v>190.68455149864528</v>
      </c>
      <c r="F240" s="14">
        <f t="shared" si="22"/>
        <v>188.01366366034165</v>
      </c>
    </row>
    <row r="241" spans="2:6" x14ac:dyDescent="0.35">
      <c r="B241">
        <v>102</v>
      </c>
      <c r="C241" s="14">
        <f t="shared" si="23"/>
        <v>2.7904537045295479</v>
      </c>
      <c r="D241" s="14">
        <f t="shared" si="24"/>
        <v>4.6482797379250638</v>
      </c>
      <c r="E241" s="14">
        <f t="shared" si="21"/>
        <v>190.67765283391955</v>
      </c>
      <c r="F241" s="14">
        <f t="shared" si="22"/>
        <v>188.01138952081956</v>
      </c>
    </row>
    <row r="242" spans="2:6" x14ac:dyDescent="0.35">
      <c r="B242">
        <v>102.25</v>
      </c>
      <c r="C242" s="14">
        <f t="shared" si="23"/>
        <v>2.7890946036787416</v>
      </c>
      <c r="D242" s="14">
        <f t="shared" si="24"/>
        <v>4.6402522830836626</v>
      </c>
      <c r="E242" s="14">
        <f t="shared" si="21"/>
        <v>190.67070173042626</v>
      </c>
      <c r="F242" s="14">
        <f t="shared" si="22"/>
        <v>188.00904298278877</v>
      </c>
    </row>
    <row r="243" spans="2:6" x14ac:dyDescent="0.35">
      <c r="B243">
        <v>102.5</v>
      </c>
      <c r="C243" s="14">
        <f t="shared" si="23"/>
        <v>2.7877387911413685</v>
      </c>
      <c r="D243" s="14">
        <f t="shared" si="24"/>
        <v>4.6322593905966158</v>
      </c>
      <c r="E243" s="14">
        <f t="shared" si="21"/>
        <v>190.6636986951726</v>
      </c>
      <c r="F243" s="14">
        <f t="shared" si="22"/>
        <v>188.00662468795636</v>
      </c>
    </row>
    <row r="244" spans="2:6" x14ac:dyDescent="0.35">
      <c r="B244">
        <v>102.75</v>
      </c>
      <c r="C244" s="14">
        <f t="shared" si="23"/>
        <v>2.7863862506359229</v>
      </c>
      <c r="D244" s="14">
        <f t="shared" si="24"/>
        <v>4.6243008277867466</v>
      </c>
      <c r="E244" s="14">
        <f t="shared" si="21"/>
        <v>190.6566442298604</v>
      </c>
      <c r="F244" s="14">
        <f t="shared" si="22"/>
        <v>188.00413527148831</v>
      </c>
    </row>
    <row r="245" spans="2:6" x14ac:dyDescent="0.35">
      <c r="B245">
        <v>103</v>
      </c>
      <c r="C245" s="14">
        <f t="shared" si="23"/>
        <v>2.7850369660011589</v>
      </c>
      <c r="D245" s="14">
        <f t="shared" si="24"/>
        <v>4.6163763641063369</v>
      </c>
      <c r="E245" s="14">
        <f t="shared" si="21"/>
        <v>190.64953883095188</v>
      </c>
      <c r="F245" s="14">
        <f t="shared" si="22"/>
        <v>188.00157536208951</v>
      </c>
    </row>
    <row r="246" spans="2:6" x14ac:dyDescent="0.35">
      <c r="B246">
        <v>103.25</v>
      </c>
      <c r="C246" s="14">
        <f t="shared" si="23"/>
        <v>2.7836909211949123</v>
      </c>
      <c r="D246" s="14">
        <f t="shared" si="24"/>
        <v>4.6084857711125409</v>
      </c>
      <c r="E246" s="14">
        <f t="shared" si="21"/>
        <v>190.64238298973461</v>
      </c>
      <c r="F246" s="14">
        <f t="shared" si="22"/>
        <v>187.99894558208288</v>
      </c>
    </row>
    <row r="247" spans="2:6" x14ac:dyDescent="0.35">
      <c r="B247">
        <v>103.5</v>
      </c>
      <c r="C247" s="14">
        <f t="shared" si="23"/>
        <v>2.7823481002929382</v>
      </c>
      <c r="D247" s="14">
        <f t="shared" si="24"/>
        <v>4.6006288224431149</v>
      </c>
      <c r="E247" s="14">
        <f t="shared" si="21"/>
        <v>190.63517719238547</v>
      </c>
      <c r="F247" s="14">
        <f t="shared" si="22"/>
        <v>187.99624654748715</v>
      </c>
    </row>
    <row r="248" spans="2:6" x14ac:dyDescent="0.35">
      <c r="B248">
        <v>103.75</v>
      </c>
      <c r="C248" s="14">
        <f t="shared" si="23"/>
        <v>2.7810084874877572</v>
      </c>
      <c r="D248" s="14">
        <f t="shared" si="24"/>
        <v>4.5928052937924821</v>
      </c>
      <c r="E248" s="14">
        <f t="shared" si="21"/>
        <v>190.62792192003374</v>
      </c>
      <c r="F248" s="14">
        <f t="shared" si="22"/>
        <v>187.99347886809369</v>
      </c>
    </row>
    <row r="249" spans="2:6" x14ac:dyDescent="0.35">
      <c r="B249">
        <v>104</v>
      </c>
      <c r="C249" s="14">
        <f t="shared" si="23"/>
        <v>2.7796720670875201</v>
      </c>
      <c r="D249" s="14">
        <f t="shared" si="24"/>
        <v>4.5850149628881383</v>
      </c>
      <c r="E249" s="14">
        <f t="shared" si="21"/>
        <v>190.62061764882304</v>
      </c>
      <c r="F249" s="14">
        <f t="shared" si="22"/>
        <v>187.99064314754222</v>
      </c>
    </row>
    <row r="250" spans="2:6" x14ac:dyDescent="0.35">
      <c r="B250">
        <v>104.25</v>
      </c>
      <c r="C250" s="14">
        <f t="shared" si="23"/>
        <v>2.7783388235148863</v>
      </c>
      <c r="D250" s="14">
        <f t="shared" si="24"/>
        <v>4.5772576094673783</v>
      </c>
      <c r="E250" s="14">
        <f t="shared" si="21"/>
        <v>190.61326484997292</v>
      </c>
      <c r="F250" s="14">
        <f t="shared" si="22"/>
        <v>187.98773998339544</v>
      </c>
    </row>
    <row r="251" spans="2:6" x14ac:dyDescent="0.35">
      <c r="B251">
        <v>104.5</v>
      </c>
      <c r="C251" s="14">
        <f t="shared" si="23"/>
        <v>2.7770087413059139</v>
      </c>
      <c r="D251" s="14">
        <f t="shared" si="24"/>
        <v>4.5695330152543558</v>
      </c>
      <c r="E251" s="14">
        <f t="shared" si="21"/>
        <v>190.60586398983878</v>
      </c>
      <c r="F251" s="14">
        <f t="shared" si="22"/>
        <v>187.98476996721212</v>
      </c>
    </row>
    <row r="252" spans="2:6" x14ac:dyDescent="0.35">
      <c r="B252">
        <v>104.75</v>
      </c>
      <c r="C252" s="14">
        <f t="shared" si="23"/>
        <v>2.7756818051089636</v>
      </c>
      <c r="D252" s="14">
        <f t="shared" si="24"/>
        <v>4.5618409639374367</v>
      </c>
      <c r="E252" s="14">
        <f t="shared" si="21"/>
        <v>190.5984155299717</v>
      </c>
      <c r="F252" s="14">
        <f t="shared" si="22"/>
        <v>187.98173368462034</v>
      </c>
    </row>
    <row r="253" spans="2:6" x14ac:dyDescent="0.35">
      <c r="B253">
        <v>105</v>
      </c>
      <c r="C253" s="14">
        <f t="shared" si="23"/>
        <v>2.7743579996836156</v>
      </c>
      <c r="D253" s="14">
        <f t="shared" si="24"/>
        <v>4.5541812411468721</v>
      </c>
      <c r="E253" s="14">
        <f t="shared" si="21"/>
        <v>190.59091992717691</v>
      </c>
      <c r="F253" s="14">
        <f t="shared" si="22"/>
        <v>187.97863171538816</v>
      </c>
    </row>
    <row r="379" spans="3:6" x14ac:dyDescent="0.35">
      <c r="C379" s="14"/>
      <c r="D379" s="14"/>
      <c r="E379" s="14"/>
      <c r="F379" s="14"/>
    </row>
  </sheetData>
  <mergeCells count="10">
    <mergeCell ref="D12:E12"/>
    <mergeCell ref="Q17:Z19"/>
    <mergeCell ref="B2:H2"/>
    <mergeCell ref="J2:M2"/>
    <mergeCell ref="J3:P11"/>
    <mergeCell ref="B4:H5"/>
    <mergeCell ref="B7:F7"/>
    <mergeCell ref="B8:F8"/>
    <mergeCell ref="D10:E10"/>
    <mergeCell ref="D11:E11"/>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27"/>
  <sheetViews>
    <sheetView zoomScaleNormal="100" workbookViewId="0">
      <selection activeCell="F36" sqref="F36"/>
    </sheetView>
  </sheetViews>
  <sheetFormatPr defaultColWidth="9" defaultRowHeight="14.5" x14ac:dyDescent="0.35"/>
  <cols>
    <col min="1" max="1" width="20.1796875" style="113" customWidth="1"/>
    <col min="2" max="2" width="12" style="113" bestFit="1" customWidth="1"/>
    <col min="3" max="9" width="9" style="113"/>
    <col min="10" max="10" width="18.81640625" style="113" bestFit="1" customWidth="1"/>
    <col min="11" max="16384" width="9" style="113"/>
  </cols>
  <sheetData>
    <row r="1" spans="1:11" x14ac:dyDescent="0.35">
      <c r="A1" s="113" t="s">
        <v>110</v>
      </c>
      <c r="B1" s="113">
        <f>100/B2</f>
        <v>10000</v>
      </c>
    </row>
    <row r="2" spans="1:11" x14ac:dyDescent="0.35">
      <c r="A2" s="113" t="s">
        <v>111</v>
      </c>
      <c r="B2" s="113">
        <v>0.01</v>
      </c>
      <c r="C2" s="114" t="s">
        <v>135</v>
      </c>
      <c r="D2" s="115" t="s">
        <v>156</v>
      </c>
    </row>
    <row r="3" spans="1:11" x14ac:dyDescent="0.35">
      <c r="A3" s="113" t="s">
        <v>112</v>
      </c>
      <c r="B3">
        <v>5</v>
      </c>
      <c r="C3" s="114" t="s">
        <v>136</v>
      </c>
      <c r="D3" s="115" t="s">
        <v>157</v>
      </c>
    </row>
    <row r="4" spans="1:11" x14ac:dyDescent="0.35">
      <c r="A4" s="113" t="s">
        <v>113</v>
      </c>
      <c r="B4" s="18">
        <f>'Deliverance II'!C27*1000</f>
        <v>85539.282863260625</v>
      </c>
      <c r="C4" s="114" t="s">
        <v>137</v>
      </c>
    </row>
    <row r="5" spans="1:11" x14ac:dyDescent="0.35">
      <c r="A5" s="113" t="s">
        <v>114</v>
      </c>
      <c r="B5" s="18">
        <f>41.864*LN('Deliverance II'!H21*1000)-353.37</f>
        <v>290.90008563640754</v>
      </c>
      <c r="C5" s="114" t="s">
        <v>138</v>
      </c>
      <c r="D5" s="115" t="s">
        <v>134</v>
      </c>
      <c r="J5" s="118">
        <f>B5-273.15</f>
        <v>17.750085636407562</v>
      </c>
      <c r="K5" s="113" t="s">
        <v>218</v>
      </c>
    </row>
    <row r="6" spans="1:11" x14ac:dyDescent="0.35">
      <c r="A6" s="113" t="s">
        <v>115</v>
      </c>
      <c r="B6" s="14">
        <f>'Deliverance II'!N23</f>
        <v>28.85</v>
      </c>
      <c r="C6" s="114" t="s">
        <v>140</v>
      </c>
    </row>
    <row r="7" spans="1:11" x14ac:dyDescent="0.35">
      <c r="A7" s="113" t="s">
        <v>116</v>
      </c>
      <c r="B7" s="45">
        <f>'Deliverance II'!N26</f>
        <v>1.4729648716005892</v>
      </c>
      <c r="C7" s="114" t="s">
        <v>140</v>
      </c>
    </row>
    <row r="8" spans="1:11" x14ac:dyDescent="0.35">
      <c r="A8" s="113" t="s">
        <v>117</v>
      </c>
      <c r="B8">
        <f>'Deliverance II'!H26</f>
        <v>950</v>
      </c>
      <c r="C8" s="114" t="s">
        <v>138</v>
      </c>
    </row>
    <row r="9" spans="1:11" x14ac:dyDescent="0.35">
      <c r="A9" s="113" t="s">
        <v>118</v>
      </c>
      <c r="B9" s="45">
        <f>'Deliverance II'!N27</f>
        <v>8.2044143348152829</v>
      </c>
      <c r="C9" s="114" t="s">
        <v>138</v>
      </c>
    </row>
    <row r="10" spans="1:11" ht="16.5" x14ac:dyDescent="0.35">
      <c r="A10" s="113" t="s">
        <v>119</v>
      </c>
      <c r="B10" s="59">
        <f>'Deliverance II'!N27/800*1.1</f>
        <v>1.1281069710371015E-2</v>
      </c>
      <c r="C10" s="114" t="s">
        <v>145</v>
      </c>
      <c r="D10" s="115" t="s">
        <v>139</v>
      </c>
    </row>
    <row r="11" spans="1:11" x14ac:dyDescent="0.35">
      <c r="A11" s="113" t="s">
        <v>120</v>
      </c>
      <c r="B11" s="123">
        <v>6.667807839</v>
      </c>
      <c r="C11" s="114" t="s">
        <v>140</v>
      </c>
    </row>
    <row r="12" spans="1:11" x14ac:dyDescent="0.35">
      <c r="A12" s="113" t="s">
        <v>52</v>
      </c>
      <c r="B12">
        <f>'Deliverance II'!H27</f>
        <v>1.55E-4</v>
      </c>
      <c r="C12" s="114"/>
    </row>
    <row r="13" spans="1:11" x14ac:dyDescent="0.35">
      <c r="A13" s="113" t="s">
        <v>121</v>
      </c>
      <c r="B13" s="42">
        <f>'Deliverance II'!H28</f>
        <v>0.5</v>
      </c>
      <c r="C13" s="114"/>
    </row>
    <row r="14" spans="1:11" x14ac:dyDescent="0.35">
      <c r="A14" s="113" t="s">
        <v>122</v>
      </c>
      <c r="B14">
        <f>'Deliverance II'!R25</f>
        <v>1</v>
      </c>
      <c r="C14" s="114"/>
    </row>
    <row r="15" spans="1:11" x14ac:dyDescent="0.35">
      <c r="A15" s="113" t="s">
        <v>123</v>
      </c>
      <c r="B15" s="17">
        <f>'Deliverance II'!R28</f>
        <v>0.4317987638212914</v>
      </c>
      <c r="C15" s="114" t="s">
        <v>146</v>
      </c>
    </row>
    <row r="16" spans="1:11" x14ac:dyDescent="0.35">
      <c r="A16" s="113" t="s">
        <v>124</v>
      </c>
      <c r="B16" s="17">
        <f>'Deliverance II'!R30</f>
        <v>1.5591286625244324E-2</v>
      </c>
      <c r="C16" s="114" t="s">
        <v>146</v>
      </c>
    </row>
    <row r="17" spans="1:10" x14ac:dyDescent="0.35">
      <c r="A17" s="113" t="s">
        <v>125</v>
      </c>
      <c r="B17" s="17">
        <f>'Deliverance II'!R29/2</f>
        <v>4.4449996962062394E-2</v>
      </c>
      <c r="C17" s="114" t="s">
        <v>146</v>
      </c>
    </row>
    <row r="18" spans="1:10" ht="16.5" x14ac:dyDescent="0.35">
      <c r="A18" s="113" t="s">
        <v>126</v>
      </c>
      <c r="B18" s="17">
        <f>'Deliverance II'!R35</f>
        <v>1.0653524748024891E-3</v>
      </c>
      <c r="C18" s="114" t="s">
        <v>147</v>
      </c>
    </row>
    <row r="19" spans="1:10" ht="16.5" x14ac:dyDescent="0.35">
      <c r="A19" s="113" t="s">
        <v>127</v>
      </c>
      <c r="B19" s="17">
        <f>'Deliverance II'!R36</f>
        <v>5.4347544054950984E-3</v>
      </c>
      <c r="C19" s="114" t="s">
        <v>147</v>
      </c>
    </row>
    <row r="20" spans="1:10" x14ac:dyDescent="0.35">
      <c r="A20" s="113" t="s">
        <v>128</v>
      </c>
      <c r="B20">
        <f>'Deliverance II'!H33/1000</f>
        <v>0.14130000000000001</v>
      </c>
      <c r="C20" s="114" t="s">
        <v>146</v>
      </c>
    </row>
    <row r="21" spans="1:10" ht="16.5" x14ac:dyDescent="0.35">
      <c r="A21" s="113" t="s">
        <v>129</v>
      </c>
      <c r="B21">
        <f>'Deliverance II'!N31/(44.013*B22*SQRT(2/44.013*(B26-B27)/0.0543))</f>
        <v>5.999917484535701E-5</v>
      </c>
      <c r="C21" s="114" t="s">
        <v>147</v>
      </c>
      <c r="D21" s="115" t="s">
        <v>220</v>
      </c>
    </row>
    <row r="22" spans="1:10" x14ac:dyDescent="0.35">
      <c r="A22" s="113" t="s">
        <v>130</v>
      </c>
      <c r="B22">
        <v>0.42</v>
      </c>
      <c r="C22" s="114"/>
    </row>
    <row r="23" spans="1:10" x14ac:dyDescent="0.35">
      <c r="A23" s="113" t="s">
        <v>131</v>
      </c>
      <c r="B23">
        <f>'Deliverance II'!C36</f>
        <v>0.9</v>
      </c>
      <c r="C23" s="114"/>
    </row>
    <row r="24" spans="1:10" x14ac:dyDescent="0.35">
      <c r="A24" s="113" t="s">
        <v>132</v>
      </c>
      <c r="B24">
        <f>'Deliverance II'!C37</f>
        <v>0.9</v>
      </c>
      <c r="C24" s="114"/>
    </row>
    <row r="25" spans="1:10" x14ac:dyDescent="0.35">
      <c r="A25" s="113" t="s">
        <v>133</v>
      </c>
      <c r="B25">
        <f>'Deliverance II'!C26</f>
        <v>1405</v>
      </c>
      <c r="C25" s="114" t="s">
        <v>141</v>
      </c>
      <c r="D25" s="115" t="s">
        <v>155</v>
      </c>
    </row>
    <row r="26" spans="1:10" ht="16.5" x14ac:dyDescent="0.45">
      <c r="A26" s="125" t="s">
        <v>142</v>
      </c>
      <c r="B26" s="18">
        <f>'Deliverance II'!H21*1000</f>
        <v>4826330.1052178536</v>
      </c>
      <c r="C26" s="114" t="s">
        <v>137</v>
      </c>
      <c r="J26" s="127">
        <f>CONVERT(B26,"Pa","psi")</f>
        <v>700</v>
      </c>
    </row>
    <row r="27" spans="1:10" ht="16.5" x14ac:dyDescent="0.45">
      <c r="A27" s="125" t="s">
        <v>151</v>
      </c>
      <c r="B27" s="18">
        <f>'Deliverance II'!H20*1000</f>
        <v>2413165.0526089268</v>
      </c>
      <c r="C27" s="114" t="s">
        <v>137</v>
      </c>
      <c r="J27" s="127">
        <f>CONVERT(B27,"Pa","psi")</f>
        <v>350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7"/>
  <sheetViews>
    <sheetView workbookViewId="0">
      <selection activeCell="D11" sqref="D11"/>
    </sheetView>
  </sheetViews>
  <sheetFormatPr defaultColWidth="9" defaultRowHeight="14.5" x14ac:dyDescent="0.35"/>
  <cols>
    <col min="1" max="1" width="20.1796875" style="113" customWidth="1"/>
    <col min="2" max="2" width="12" style="113" bestFit="1" customWidth="1"/>
    <col min="3" max="9" width="9" style="113"/>
    <col min="10" max="10" width="18.81640625" style="113" bestFit="1" customWidth="1"/>
    <col min="11" max="16384" width="9" style="113"/>
  </cols>
  <sheetData>
    <row r="1" spans="1:11" x14ac:dyDescent="0.35">
      <c r="A1" s="113" t="s">
        <v>110</v>
      </c>
      <c r="B1" s="113">
        <f>100/B2</f>
        <v>10000</v>
      </c>
    </row>
    <row r="2" spans="1:11" x14ac:dyDescent="0.35">
      <c r="A2" s="113" t="s">
        <v>111</v>
      </c>
      <c r="B2" s="113">
        <v>0.01</v>
      </c>
      <c r="C2" s="114" t="s">
        <v>135</v>
      </c>
      <c r="D2" s="115" t="s">
        <v>156</v>
      </c>
    </row>
    <row r="3" spans="1:11" x14ac:dyDescent="0.35">
      <c r="A3" s="113" t="s">
        <v>112</v>
      </c>
      <c r="B3" s="116">
        <v>5</v>
      </c>
      <c r="C3" s="114" t="s">
        <v>136</v>
      </c>
      <c r="D3" s="115" t="s">
        <v>157</v>
      </c>
    </row>
    <row r="4" spans="1:11" x14ac:dyDescent="0.35">
      <c r="A4" s="113" t="s">
        <v>113</v>
      </c>
      <c r="B4" s="117">
        <v>98177.13</v>
      </c>
      <c r="C4" s="114" t="s">
        <v>137</v>
      </c>
    </row>
    <row r="5" spans="1:11" x14ac:dyDescent="0.35">
      <c r="A5" s="113" t="s">
        <v>114</v>
      </c>
      <c r="B5" s="117">
        <v>293.78840914112027</v>
      </c>
      <c r="C5" s="114" t="s">
        <v>138</v>
      </c>
      <c r="D5" s="115" t="s">
        <v>134</v>
      </c>
      <c r="J5" s="118">
        <f>B5-273.15</f>
        <v>20.638409141120292</v>
      </c>
      <c r="K5" s="113" t="s">
        <v>218</v>
      </c>
    </row>
    <row r="6" spans="1:11" x14ac:dyDescent="0.35">
      <c r="A6" s="113" t="s">
        <v>115</v>
      </c>
      <c r="B6" s="119">
        <f>CONVERT(56,"lbm","kg")</f>
        <v>25.401172720000002</v>
      </c>
      <c r="C6" s="114" t="s">
        <v>140</v>
      </c>
    </row>
    <row r="7" spans="1:11" x14ac:dyDescent="0.35">
      <c r="A7" s="113" t="s">
        <v>116</v>
      </c>
      <c r="B7" s="120">
        <f>'Deliverance II'!N26</f>
        <v>1.4729648716005892</v>
      </c>
      <c r="C7" s="114" t="s">
        <v>140</v>
      </c>
    </row>
    <row r="8" spans="1:11" x14ac:dyDescent="0.35">
      <c r="A8" s="113" t="s">
        <v>117</v>
      </c>
      <c r="B8" s="113">
        <f>'Deliverance II'!H26</f>
        <v>950</v>
      </c>
      <c r="C8" s="114" t="s">
        <v>138</v>
      </c>
      <c r="H8" s="113" t="s">
        <v>222</v>
      </c>
    </row>
    <row r="9" spans="1:11" x14ac:dyDescent="0.35">
      <c r="A9" s="113" t="s">
        <v>118</v>
      </c>
      <c r="B9" s="121">
        <v>3.2</v>
      </c>
      <c r="C9" s="114" t="s">
        <v>138</v>
      </c>
      <c r="H9" s="121">
        <v>5.375</v>
      </c>
    </row>
    <row r="10" spans="1:11" ht="16.5" x14ac:dyDescent="0.35">
      <c r="A10" s="113" t="s">
        <v>119</v>
      </c>
      <c r="B10" s="122">
        <v>1.2E-2</v>
      </c>
      <c r="C10" s="114" t="s">
        <v>145</v>
      </c>
      <c r="D10" s="115" t="s">
        <v>139</v>
      </c>
    </row>
    <row r="11" spans="1:11" x14ac:dyDescent="0.35">
      <c r="A11" s="113" t="s">
        <v>120</v>
      </c>
      <c r="B11" s="123">
        <v>6.667807839</v>
      </c>
      <c r="C11" s="114" t="s">
        <v>140</v>
      </c>
    </row>
    <row r="12" spans="1:11" x14ac:dyDescent="0.35">
      <c r="A12" s="113" t="s">
        <v>52</v>
      </c>
      <c r="B12" s="113">
        <f>'Deliverance II'!H27</f>
        <v>1.55E-4</v>
      </c>
      <c r="C12" s="114"/>
    </row>
    <row r="13" spans="1:11" x14ac:dyDescent="0.35">
      <c r="A13" s="113" t="s">
        <v>121</v>
      </c>
      <c r="B13" s="124">
        <f>'Deliverance II'!H28</f>
        <v>0.5</v>
      </c>
      <c r="C13" s="114"/>
    </row>
    <row r="14" spans="1:11" x14ac:dyDescent="0.35">
      <c r="A14" s="113" t="s">
        <v>122</v>
      </c>
      <c r="B14" s="113">
        <f>'Deliverance II'!R25</f>
        <v>1</v>
      </c>
      <c r="C14" s="114"/>
    </row>
    <row r="15" spans="1:11" x14ac:dyDescent="0.35">
      <c r="A15" s="113" t="s">
        <v>123</v>
      </c>
      <c r="B15" s="123">
        <f>'Deliverance II'!R28</f>
        <v>0.4317987638212914</v>
      </c>
      <c r="C15" s="114" t="s">
        <v>146</v>
      </c>
    </row>
    <row r="16" spans="1:11" x14ac:dyDescent="0.35">
      <c r="A16" s="113" t="s">
        <v>124</v>
      </c>
      <c r="B16" s="123">
        <f>'Deliverance II'!R30</f>
        <v>1.5591286625244324E-2</v>
      </c>
      <c r="C16" s="114" t="s">
        <v>146</v>
      </c>
    </row>
    <row r="17" spans="1:10" x14ac:dyDescent="0.35">
      <c r="A17" s="113" t="s">
        <v>125</v>
      </c>
      <c r="B17" s="123">
        <f>'Deliverance II'!R29/2</f>
        <v>4.4449996962062394E-2</v>
      </c>
      <c r="C17" s="114" t="s">
        <v>146</v>
      </c>
    </row>
    <row r="18" spans="1:10" ht="16.5" x14ac:dyDescent="0.35">
      <c r="A18" s="113" t="s">
        <v>126</v>
      </c>
      <c r="B18" s="123">
        <f>'Deliverance II'!R35</f>
        <v>1.0653524748024891E-3</v>
      </c>
      <c r="C18" s="114" t="s">
        <v>147</v>
      </c>
    </row>
    <row r="19" spans="1:10" ht="16.5" x14ac:dyDescent="0.35">
      <c r="A19" s="113" t="s">
        <v>127</v>
      </c>
      <c r="B19" s="123">
        <f>'Deliverance II'!R36</f>
        <v>5.4347544054950984E-3</v>
      </c>
      <c r="C19" s="114" t="s">
        <v>147</v>
      </c>
    </row>
    <row r="20" spans="1:10" x14ac:dyDescent="0.35">
      <c r="A20" s="113" t="s">
        <v>128</v>
      </c>
      <c r="B20" s="113">
        <f>'Deliverance II'!H33/1000</f>
        <v>0.14130000000000001</v>
      </c>
      <c r="C20" s="114" t="s">
        <v>146</v>
      </c>
    </row>
    <row r="21" spans="1:10" ht="16.5" x14ac:dyDescent="0.35">
      <c r="A21" s="113" t="s">
        <v>129</v>
      </c>
      <c r="B21" s="113">
        <f>'Deliverance II'!N31/(44.013*B22*SQRT(2/44.013*(CONVERT(700,"psi","Pa")-B27)/0.0543))</f>
        <v>5.999917484535701E-5</v>
      </c>
      <c r="C21" s="114" t="s">
        <v>147</v>
      </c>
      <c r="D21" s="115" t="s">
        <v>220</v>
      </c>
    </row>
    <row r="22" spans="1:10" x14ac:dyDescent="0.35">
      <c r="A22" s="113" t="s">
        <v>130</v>
      </c>
      <c r="B22" s="113">
        <v>0.42</v>
      </c>
      <c r="C22" s="114"/>
    </row>
    <row r="23" spans="1:10" x14ac:dyDescent="0.35">
      <c r="A23" s="113" t="s">
        <v>131</v>
      </c>
      <c r="B23" s="113">
        <f>'Deliverance II'!C36</f>
        <v>0.9</v>
      </c>
      <c r="C23" s="114"/>
    </row>
    <row r="24" spans="1:10" x14ac:dyDescent="0.35">
      <c r="A24" s="113" t="s">
        <v>132</v>
      </c>
      <c r="B24" s="113">
        <f>'Deliverance II'!C37</f>
        <v>0.9</v>
      </c>
      <c r="C24" s="114"/>
    </row>
    <row r="25" spans="1:10" x14ac:dyDescent="0.35">
      <c r="A25" s="113" t="s">
        <v>133</v>
      </c>
      <c r="B25" s="116">
        <v>270</v>
      </c>
      <c r="C25" s="114" t="s">
        <v>141</v>
      </c>
      <c r="D25" s="115" t="s">
        <v>155</v>
      </c>
    </row>
    <row r="26" spans="1:10" ht="16.5" x14ac:dyDescent="0.45">
      <c r="A26" s="125" t="s">
        <v>142</v>
      </c>
      <c r="B26" s="126">
        <f>EXP(((B5+353.37)/41.864))</f>
        <v>5171068.7026974699</v>
      </c>
      <c r="C26" s="114" t="s">
        <v>137</v>
      </c>
      <c r="J26" s="127">
        <f>CONVERT(B26,"Pa","psi")</f>
        <v>750.00010628672885</v>
      </c>
    </row>
    <row r="27" spans="1:10" ht="16.5" x14ac:dyDescent="0.45">
      <c r="A27" s="125" t="s">
        <v>151</v>
      </c>
      <c r="B27" s="127">
        <f>'Deliverance II'!H20*1000</f>
        <v>2413165.0526089268</v>
      </c>
      <c r="C27" s="114" t="s">
        <v>137</v>
      </c>
      <c r="J27" s="113">
        <f>CONVERT(B27,"Pa","psi")</f>
        <v>350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7"/>
  <sheetViews>
    <sheetView tabSelected="1" topLeftCell="A7" workbookViewId="0">
      <selection activeCell="E19" sqref="E19"/>
    </sheetView>
  </sheetViews>
  <sheetFormatPr defaultRowHeight="14.5" x14ac:dyDescent="0.35"/>
  <cols>
    <col min="1" max="1" width="20.1796875" customWidth="1"/>
    <col min="2" max="2" width="12" bestFit="1" customWidth="1"/>
    <col min="5" max="5" width="8.81640625" style="111"/>
    <col min="14" max="14" width="11" bestFit="1" customWidth="1"/>
  </cols>
  <sheetData>
    <row r="1" spans="1:16" x14ac:dyDescent="0.35">
      <c r="A1" t="s">
        <v>110</v>
      </c>
      <c r="B1">
        <f>150/B2</f>
        <v>15000</v>
      </c>
      <c r="D1" s="11" t="s">
        <v>238</v>
      </c>
    </row>
    <row r="2" spans="1:16" x14ac:dyDescent="0.35">
      <c r="A2" t="s">
        <v>111</v>
      </c>
      <c r="B2">
        <v>0.01</v>
      </c>
      <c r="C2" s="2" t="s">
        <v>135</v>
      </c>
      <c r="D2" s="11" t="s">
        <v>156</v>
      </c>
    </row>
    <row r="3" spans="1:16" x14ac:dyDescent="0.35">
      <c r="A3" t="s">
        <v>112</v>
      </c>
      <c r="B3">
        <v>5</v>
      </c>
      <c r="C3" s="2" t="s">
        <v>136</v>
      </c>
      <c r="D3" s="11" t="s">
        <v>185</v>
      </c>
    </row>
    <row r="4" spans="1:16" x14ac:dyDescent="0.35">
      <c r="A4" t="s">
        <v>113</v>
      </c>
      <c r="B4" s="18">
        <f>Recordbreaker!C27*1000</f>
        <v>94989.43204448474</v>
      </c>
      <c r="C4" s="2" t="s">
        <v>137</v>
      </c>
      <c r="D4" s="11" t="s">
        <v>239</v>
      </c>
      <c r="E4" s="137"/>
    </row>
    <row r="5" spans="1:16" x14ac:dyDescent="0.35">
      <c r="A5" t="s">
        <v>114</v>
      </c>
      <c r="B5" s="136">
        <f>41.864*LN(Recordbreaker!H24*1000)-353.37</f>
        <v>296.49024385724056</v>
      </c>
      <c r="C5" s="2" t="s">
        <v>138</v>
      </c>
      <c r="D5" s="11" t="s">
        <v>240</v>
      </c>
    </row>
    <row r="6" spans="1:16" x14ac:dyDescent="0.35">
      <c r="A6" t="s">
        <v>115</v>
      </c>
      <c r="B6" s="14">
        <f>Recordbreaker!N23</f>
        <v>39.916128560000004</v>
      </c>
      <c r="C6" s="2" t="s">
        <v>140</v>
      </c>
      <c r="D6" s="11" t="s">
        <v>241</v>
      </c>
    </row>
    <row r="7" spans="1:16" x14ac:dyDescent="0.35">
      <c r="A7" t="s">
        <v>116</v>
      </c>
      <c r="B7" s="45">
        <f>Recordbreaker!N26</f>
        <v>5.0169869345784681</v>
      </c>
      <c r="C7" s="2" t="s">
        <v>140</v>
      </c>
      <c r="D7" s="11" t="s">
        <v>242</v>
      </c>
      <c r="E7" s="137"/>
    </row>
    <row r="8" spans="1:16" x14ac:dyDescent="0.35">
      <c r="A8" t="s">
        <v>117</v>
      </c>
      <c r="B8">
        <f>Recordbreaker!H29</f>
        <v>950</v>
      </c>
      <c r="C8" s="2" t="s">
        <v>223</v>
      </c>
      <c r="D8" s="11" t="s">
        <v>243</v>
      </c>
    </row>
    <row r="9" spans="1:16" x14ac:dyDescent="0.35">
      <c r="A9" t="s">
        <v>118</v>
      </c>
      <c r="B9" s="45">
        <f>Recordbreaker!N27</f>
        <v>22.576441205603103</v>
      </c>
      <c r="C9" s="2" t="s">
        <v>140</v>
      </c>
      <c r="D9" s="11" t="s">
        <v>244</v>
      </c>
      <c r="E9" s="137"/>
    </row>
    <row r="10" spans="1:16" ht="16.5" x14ac:dyDescent="0.35">
      <c r="A10" t="s">
        <v>119</v>
      </c>
      <c r="B10" s="139">
        <f>Recordbreaker!N27/Recordbreaker!H34*1.1</f>
        <v>3.2683672597335844E-2</v>
      </c>
      <c r="C10" s="2" t="s">
        <v>145</v>
      </c>
      <c r="D10" s="11" t="s">
        <v>270</v>
      </c>
      <c r="E10" s="137"/>
      <c r="M10" t="s">
        <v>272</v>
      </c>
      <c r="N10">
        <f>B10/(PI()*(0.13335/2)^2)</f>
        <v>2.3402105343190369</v>
      </c>
      <c r="O10" t="s">
        <v>282</v>
      </c>
      <c r="P10" t="s">
        <v>141</v>
      </c>
    </row>
    <row r="11" spans="1:16" x14ac:dyDescent="0.35">
      <c r="A11" t="s">
        <v>120</v>
      </c>
      <c r="B11" s="135">
        <v>13.6</v>
      </c>
      <c r="C11" s="2" t="s">
        <v>140</v>
      </c>
      <c r="D11" s="11" t="s">
        <v>269</v>
      </c>
    </row>
    <row r="12" spans="1:16" x14ac:dyDescent="0.35">
      <c r="A12" t="s">
        <v>52</v>
      </c>
      <c r="B12">
        <f>Recordbreaker!H30</f>
        <v>1.55E-4</v>
      </c>
      <c r="C12" s="2" t="s">
        <v>246</v>
      </c>
      <c r="D12" s="11" t="s">
        <v>245</v>
      </c>
    </row>
    <row r="13" spans="1:16" x14ac:dyDescent="0.35">
      <c r="A13" t="s">
        <v>121</v>
      </c>
      <c r="B13" s="42">
        <f>Recordbreaker!H31</f>
        <v>0.5</v>
      </c>
      <c r="C13" s="2"/>
      <c r="D13" s="11" t="s">
        <v>247</v>
      </c>
    </row>
    <row r="14" spans="1:16" x14ac:dyDescent="0.35">
      <c r="A14" t="s">
        <v>122</v>
      </c>
      <c r="B14">
        <f>Recordbreaker!R25</f>
        <v>1</v>
      </c>
      <c r="C14" s="2"/>
      <c r="D14" s="11" t="s">
        <v>248</v>
      </c>
    </row>
    <row r="15" spans="1:16" x14ac:dyDescent="0.35">
      <c r="A15" t="s">
        <v>123</v>
      </c>
      <c r="B15" s="17">
        <f>Recordbreaker!R28</f>
        <v>0.71721010727924761</v>
      </c>
      <c r="C15" s="2" t="s">
        <v>146</v>
      </c>
      <c r="D15" s="11" t="s">
        <v>249</v>
      </c>
      <c r="E15" s="137"/>
    </row>
    <row r="16" spans="1:16" x14ac:dyDescent="0.35">
      <c r="A16" t="s">
        <v>124</v>
      </c>
      <c r="B16" s="17">
        <f>Recordbreaker!R30</f>
        <v>2.3514504912847428E-2</v>
      </c>
      <c r="C16" s="2" t="s">
        <v>146</v>
      </c>
      <c r="D16" s="11" t="s">
        <v>250</v>
      </c>
      <c r="E16" s="137"/>
    </row>
    <row r="17" spans="1:15" x14ac:dyDescent="0.35">
      <c r="A17" t="s">
        <v>125</v>
      </c>
      <c r="B17" s="17">
        <f>Recordbreaker!R29/2</f>
        <v>6.1594868034884329E-2</v>
      </c>
      <c r="C17" s="2" t="s">
        <v>146</v>
      </c>
      <c r="D17" s="11" t="s">
        <v>251</v>
      </c>
      <c r="E17" s="137"/>
    </row>
    <row r="18" spans="1:15" ht="16.5" x14ac:dyDescent="0.35">
      <c r="A18" t="s">
        <v>126</v>
      </c>
      <c r="B18" s="17">
        <f>Recordbreaker!N35</f>
        <v>1.5489650980400821E-3</v>
      </c>
      <c r="C18" s="2" t="s">
        <v>147</v>
      </c>
      <c r="D18" s="11" t="s">
        <v>252</v>
      </c>
      <c r="E18" s="137"/>
    </row>
    <row r="19" spans="1:15" ht="16.5" x14ac:dyDescent="0.35">
      <c r="A19" t="s">
        <v>127</v>
      </c>
      <c r="B19" s="17">
        <f>Recordbreaker!N36</f>
        <v>8.4826610442231901E-3</v>
      </c>
      <c r="C19" s="2" t="s">
        <v>147</v>
      </c>
      <c r="D19" s="11" t="s">
        <v>253</v>
      </c>
      <c r="E19" s="137"/>
    </row>
    <row r="20" spans="1:15" x14ac:dyDescent="0.35">
      <c r="A20" t="s">
        <v>128</v>
      </c>
      <c r="B20">
        <f>Recordbreaker!H40/1000</f>
        <v>0.13969999999999999</v>
      </c>
      <c r="C20" s="2" t="s">
        <v>146</v>
      </c>
      <c r="D20" s="11" t="s">
        <v>254</v>
      </c>
      <c r="N20" t="s">
        <v>261</v>
      </c>
    </row>
    <row r="21" spans="1:15" ht="16.5" x14ac:dyDescent="0.35">
      <c r="A21" t="s">
        <v>129</v>
      </c>
      <c r="B21">
        <f>Recordbreaker!S35</f>
        <v>1.060287521E-4</v>
      </c>
      <c r="C21" s="2" t="s">
        <v>147</v>
      </c>
      <c r="D21" s="11" t="s">
        <v>265</v>
      </c>
      <c r="N21">
        <f>Recordbreaker!N31/(44.013*B22*SQRT(2/44.013*(B28-B29)/0.0543))</f>
        <v>1.0804133154674429E-4</v>
      </c>
      <c r="O21" s="11" t="s">
        <v>154</v>
      </c>
    </row>
    <row r="22" spans="1:15" x14ac:dyDescent="0.35">
      <c r="A22" t="s">
        <v>130</v>
      </c>
      <c r="B22" s="15">
        <f>Recordbreaker!S36</f>
        <v>0.42</v>
      </c>
      <c r="C22" s="2"/>
      <c r="D22" s="11" t="s">
        <v>255</v>
      </c>
    </row>
    <row r="23" spans="1:15" x14ac:dyDescent="0.35">
      <c r="A23" t="s">
        <v>131</v>
      </c>
      <c r="B23">
        <f>Recordbreaker!C36</f>
        <v>0.9</v>
      </c>
      <c r="C23" s="2"/>
      <c r="D23" s="11" t="s">
        <v>266</v>
      </c>
    </row>
    <row r="24" spans="1:15" x14ac:dyDescent="0.35">
      <c r="A24" t="s">
        <v>132</v>
      </c>
      <c r="B24">
        <f>Recordbreaker!C37</f>
        <v>0.9</v>
      </c>
      <c r="C24" s="2"/>
      <c r="D24" s="11" t="s">
        <v>267</v>
      </c>
    </row>
    <row r="25" spans="1:15" x14ac:dyDescent="0.35">
      <c r="A25" t="s">
        <v>160</v>
      </c>
      <c r="B25">
        <f>Recordbreaker!H38</f>
        <v>5.5</v>
      </c>
      <c r="C25" s="64" t="s">
        <v>141</v>
      </c>
      <c r="D25" s="11" t="s">
        <v>268</v>
      </c>
    </row>
    <row r="26" spans="1:15" x14ac:dyDescent="0.35">
      <c r="A26" t="s">
        <v>133</v>
      </c>
      <c r="B26">
        <f>Recordbreaker!C26</f>
        <v>541</v>
      </c>
      <c r="C26" s="2" t="s">
        <v>141</v>
      </c>
      <c r="D26" s="11" t="s">
        <v>155</v>
      </c>
    </row>
    <row r="27" spans="1:15" x14ac:dyDescent="0.35">
      <c r="A27" t="s">
        <v>162</v>
      </c>
      <c r="B27">
        <f>Recordbreaker!H39</f>
        <v>5</v>
      </c>
      <c r="D27" s="11" t="s">
        <v>256</v>
      </c>
    </row>
    <row r="28" spans="1:15" ht="16.5" x14ac:dyDescent="0.45">
      <c r="A28" s="4" t="s">
        <v>142</v>
      </c>
      <c r="B28" s="18">
        <f>Recordbreaker!H24*1000</f>
        <v>5515805.8345346898</v>
      </c>
      <c r="C28" s="2" t="s">
        <v>137</v>
      </c>
      <c r="D28" s="11" t="s">
        <v>257</v>
      </c>
    </row>
    <row r="29" spans="1:15" ht="16.5" x14ac:dyDescent="0.45">
      <c r="A29" s="4" t="s">
        <v>151</v>
      </c>
      <c r="B29" s="18">
        <f>Recordbreaker!H20*1000</f>
        <v>3102640.7819257625</v>
      </c>
      <c r="C29" s="2" t="s">
        <v>137</v>
      </c>
      <c r="D29" s="11" t="s">
        <v>258</v>
      </c>
    </row>
    <row r="37" spans="11:11" x14ac:dyDescent="0.35">
      <c r="K37" s="59"/>
    </row>
  </sheetData>
  <conditionalFormatting sqref="E1">
    <cfRule type="cellIs" dxfId="1" priority="2" operator="equal">
      <formula>$B1</formula>
    </cfRule>
  </conditionalFormatting>
  <conditionalFormatting sqref="E2:E29">
    <cfRule type="cellIs" dxfId="0" priority="1" operator="equal">
      <formula>$B2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Q37"/>
  <sheetViews>
    <sheetView zoomScale="91" zoomScaleNormal="90" workbookViewId="0">
      <selection activeCell="K16" sqref="I6:K16"/>
    </sheetView>
  </sheetViews>
  <sheetFormatPr defaultRowHeight="14.5" x14ac:dyDescent="0.35"/>
  <cols>
    <col min="1" max="1" width="2.81640625" customWidth="1"/>
    <col min="2" max="6" width="16.54296875" customWidth="1"/>
    <col min="7" max="7" width="9.54296875" customWidth="1"/>
    <col min="8" max="8" width="7.54296875" bestFit="1" customWidth="1"/>
    <col min="9" max="9" width="11.1796875" bestFit="1" customWidth="1"/>
    <col min="10" max="10" width="11.453125" bestFit="1" customWidth="1"/>
    <col min="11" max="11" width="7.453125" bestFit="1" customWidth="1"/>
    <col min="13" max="16" width="12" bestFit="1" customWidth="1"/>
  </cols>
  <sheetData>
    <row r="2" spans="2:17" ht="17.5" x14ac:dyDescent="0.45">
      <c r="B2" s="182" t="s">
        <v>194</v>
      </c>
      <c r="C2" s="182"/>
      <c r="D2" s="182"/>
      <c r="E2" s="182"/>
      <c r="F2" s="182"/>
      <c r="H2" s="79" t="s">
        <v>5</v>
      </c>
      <c r="I2" s="79" t="s">
        <v>192</v>
      </c>
      <c r="J2" s="79" t="s">
        <v>193</v>
      </c>
      <c r="K2" s="79" t="s">
        <v>191</v>
      </c>
      <c r="M2" s="83" t="s">
        <v>22</v>
      </c>
      <c r="N2" s="83" t="s">
        <v>199</v>
      </c>
      <c r="O2" s="83" t="s">
        <v>200</v>
      </c>
      <c r="P2" s="83" t="s">
        <v>201</v>
      </c>
    </row>
    <row r="3" spans="2:17" x14ac:dyDescent="0.35">
      <c r="B3" s="182"/>
      <c r="C3" s="182"/>
      <c r="D3" s="182"/>
      <c r="E3" s="182"/>
      <c r="F3" s="182"/>
      <c r="H3" s="109">
        <v>3.25</v>
      </c>
      <c r="I3" s="80">
        <v>2120.7428571428568</v>
      </c>
      <c r="J3" s="80">
        <v>20.377761904761904</v>
      </c>
      <c r="K3" s="80">
        <v>1.2962</v>
      </c>
      <c r="L3" s="45"/>
      <c r="M3" s="80">
        <f t="shared" ref="M3:M31" si="0">8314/J3</f>
        <v>407.99377472641748</v>
      </c>
      <c r="N3" s="80">
        <f t="shared" ref="N3:N31" si="1">SQRT(K3*M3*I3)</f>
        <v>1059.0263920249604</v>
      </c>
      <c r="O3" s="80">
        <f t="shared" ref="O3:O31" si="2">0.9*N3/K3/(2/(K3+1))^((K3+1)/(2*K3-2))</f>
        <v>1255.9272700974807</v>
      </c>
      <c r="P3" s="110">
        <f>0.9*O3/9.807*K3*SQRT((2/(K3-1))*(2/(K3+1))^((K3+1)/(K3-1))*(1-(I$34/I$35)^((K3-1)/K3)))</f>
        <v>169.27913127564983</v>
      </c>
    </row>
    <row r="4" spans="2:17" x14ac:dyDescent="0.35">
      <c r="H4" s="109">
        <v>3.5</v>
      </c>
      <c r="I4" s="80">
        <v>2294.4714285714285</v>
      </c>
      <c r="J4" s="80">
        <v>20.99014285714286</v>
      </c>
      <c r="K4" s="80">
        <v>1.2832619047619045</v>
      </c>
      <c r="L4" s="45"/>
      <c r="M4" s="80">
        <f t="shared" si="0"/>
        <v>396.09068202081244</v>
      </c>
      <c r="N4" s="80">
        <f t="shared" si="1"/>
        <v>1079.9317034349647</v>
      </c>
      <c r="O4" s="80">
        <f t="shared" si="2"/>
        <v>1291.7235261453429</v>
      </c>
      <c r="P4" s="110">
        <f t="shared" ref="P4:P31" si="3">0.9*O4/9.807*K4*SQRT((2/(K4-1))*(2/(K4+1))^((K4+1)/(K4-1))*(1-(I$34/I$35)^((K4-1)/K4)))</f>
        <v>174.52952363421528</v>
      </c>
    </row>
    <row r="5" spans="2:17" ht="15" customHeight="1" x14ac:dyDescent="0.35">
      <c r="B5" s="186" t="s">
        <v>221</v>
      </c>
      <c r="C5" s="187"/>
      <c r="D5" s="187"/>
      <c r="E5" s="187"/>
      <c r="F5" s="188"/>
      <c r="H5" s="109">
        <v>3.75</v>
      </c>
      <c r="I5" s="80">
        <v>2450.1190476190477</v>
      </c>
      <c r="J5" s="80">
        <v>21.570714285714285</v>
      </c>
      <c r="K5" s="80">
        <v>1.2701142857142858</v>
      </c>
      <c r="L5" s="45"/>
      <c r="M5" s="80">
        <f t="shared" si="0"/>
        <v>385.42998112520286</v>
      </c>
      <c r="N5" s="80">
        <f t="shared" si="1"/>
        <v>1095.1856396301559</v>
      </c>
      <c r="O5" s="80">
        <f t="shared" si="2"/>
        <v>1321.5373830754536</v>
      </c>
      <c r="P5" s="110">
        <f t="shared" si="3"/>
        <v>179.02124065264539</v>
      </c>
    </row>
    <row r="6" spans="2:17" x14ac:dyDescent="0.35">
      <c r="B6" s="189"/>
      <c r="C6" s="190"/>
      <c r="D6" s="190"/>
      <c r="E6" s="190"/>
      <c r="F6" s="191"/>
      <c r="H6" s="109">
        <v>4</v>
      </c>
      <c r="I6" s="80">
        <v>2589.0571428571429</v>
      </c>
      <c r="J6" s="80">
        <v>22.114380952380955</v>
      </c>
      <c r="K6" s="80">
        <v>1.2571809523809523</v>
      </c>
      <c r="L6" s="45"/>
      <c r="M6" s="80">
        <f t="shared" si="0"/>
        <v>375.95445325386191</v>
      </c>
      <c r="N6" s="80">
        <f t="shared" si="1"/>
        <v>1106.2093650608917</v>
      </c>
      <c r="O6" s="80">
        <f t="shared" si="2"/>
        <v>1346.5674855123962</v>
      </c>
      <c r="P6" s="110">
        <f t="shared" si="3"/>
        <v>182.89851522823506</v>
      </c>
    </row>
    <row r="7" spans="2:17" x14ac:dyDescent="0.35">
      <c r="B7" s="192"/>
      <c r="C7" s="193"/>
      <c r="D7" s="193"/>
      <c r="E7" s="193"/>
      <c r="F7" s="194"/>
      <c r="H7" s="109">
        <v>4.25</v>
      </c>
      <c r="I7" s="80">
        <v>2712.5666666666666</v>
      </c>
      <c r="J7" s="80">
        <v>22.622000000000003</v>
      </c>
      <c r="K7" s="80">
        <v>1.2445619047619048</v>
      </c>
      <c r="L7" s="45"/>
      <c r="M7" s="80">
        <f t="shared" si="0"/>
        <v>367.51834497391911</v>
      </c>
      <c r="N7" s="80">
        <f t="shared" si="1"/>
        <v>1113.8788892255322</v>
      </c>
      <c r="O7" s="80">
        <f t="shared" si="2"/>
        <v>1367.657630863881</v>
      </c>
      <c r="P7" s="110">
        <f t="shared" si="3"/>
        <v>186.26777470821125</v>
      </c>
    </row>
    <row r="8" spans="2:17" x14ac:dyDescent="0.35">
      <c r="B8" s="82"/>
      <c r="C8" s="82"/>
      <c r="D8" s="82"/>
      <c r="E8" s="82"/>
      <c r="F8" s="82"/>
      <c r="H8" s="109">
        <v>4.5</v>
      </c>
      <c r="I8" s="80">
        <v>2821.6666666666665</v>
      </c>
      <c r="J8" s="80">
        <v>23.094666666666665</v>
      </c>
      <c r="K8" s="80">
        <v>1.2322238095238096</v>
      </c>
      <c r="L8" s="45"/>
      <c r="M8" s="80">
        <f t="shared" si="0"/>
        <v>359.99653599676697</v>
      </c>
      <c r="N8" s="80">
        <f t="shared" si="1"/>
        <v>1118.7854582695322</v>
      </c>
      <c r="O8" s="80">
        <f t="shared" si="2"/>
        <v>1385.4543573347069</v>
      </c>
      <c r="P8" s="110">
        <f t="shared" si="3"/>
        <v>189.21427278789966</v>
      </c>
    </row>
    <row r="9" spans="2:17" x14ac:dyDescent="0.35">
      <c r="B9" s="195" t="s">
        <v>198</v>
      </c>
      <c r="C9" s="195"/>
      <c r="D9" s="82"/>
      <c r="E9" s="82"/>
      <c r="F9" s="82"/>
      <c r="H9" s="109">
        <v>4.75</v>
      </c>
      <c r="I9" s="80">
        <v>2917.1761904761902</v>
      </c>
      <c r="J9" s="80">
        <v>23.533619047619048</v>
      </c>
      <c r="K9" s="80">
        <v>1.2201333333333335</v>
      </c>
      <c r="L9" s="45"/>
      <c r="M9" s="80">
        <f t="shared" si="0"/>
        <v>353.28182984423501</v>
      </c>
      <c r="N9" s="80">
        <f t="shared" si="1"/>
        <v>1121.361462370342</v>
      </c>
      <c r="O9" s="80">
        <f t="shared" si="2"/>
        <v>1400.4339192775312</v>
      </c>
      <c r="P9" s="110">
        <f t="shared" si="3"/>
        <v>191.80099067938602</v>
      </c>
    </row>
    <row r="10" spans="2:17" x14ac:dyDescent="0.35">
      <c r="H10" s="109">
        <v>5</v>
      </c>
      <c r="I10" s="80">
        <v>2999.6571428571428</v>
      </c>
      <c r="J10" s="80">
        <v>23.939857142857146</v>
      </c>
      <c r="K10" s="80">
        <v>1.2084952380952381</v>
      </c>
      <c r="L10" s="45"/>
      <c r="M10" s="80">
        <f t="shared" si="0"/>
        <v>347.28695122897255</v>
      </c>
      <c r="N10" s="80">
        <f t="shared" si="1"/>
        <v>1122.0249485362872</v>
      </c>
      <c r="O10" s="80">
        <f t="shared" si="2"/>
        <v>1412.8363276291275</v>
      </c>
      <c r="P10" s="110">
        <f t="shared" si="3"/>
        <v>194.0478434665979</v>
      </c>
    </row>
    <row r="11" spans="2:17" x14ac:dyDescent="0.35">
      <c r="B11" s="183" t="s">
        <v>195</v>
      </c>
      <c r="C11" s="184"/>
      <c r="D11" s="184"/>
      <c r="E11" s="184"/>
      <c r="H11" s="109">
        <v>5.25</v>
      </c>
      <c r="I11" s="80">
        <v>3070.3849999999993</v>
      </c>
      <c r="J11" s="80">
        <v>24.315099999999997</v>
      </c>
      <c r="K11" s="80">
        <v>1.1972599999999998</v>
      </c>
      <c r="L11" s="45"/>
      <c r="M11" s="80">
        <f t="shared" si="0"/>
        <v>341.92744426303</v>
      </c>
      <c r="N11" s="80">
        <f t="shared" si="1"/>
        <v>1121.1342868583313</v>
      </c>
      <c r="O11" s="80">
        <f t="shared" si="2"/>
        <v>1423.0883456681815</v>
      </c>
      <c r="P11" s="110">
        <f t="shared" si="3"/>
        <v>196.01153843240712</v>
      </c>
    </row>
    <row r="12" spans="2:17" x14ac:dyDescent="0.35">
      <c r="H12" s="109">
        <v>5.5</v>
      </c>
      <c r="I12" s="80">
        <v>3127.2666666666664</v>
      </c>
      <c r="J12" s="80">
        <v>24.656714285714287</v>
      </c>
      <c r="K12" s="80">
        <v>1.1861238095238094</v>
      </c>
      <c r="L12" s="45"/>
      <c r="M12" s="80">
        <f t="shared" si="0"/>
        <v>337.19010179782958</v>
      </c>
      <c r="N12" s="80">
        <f t="shared" si="1"/>
        <v>1118.3683770487114</v>
      </c>
      <c r="O12" s="80">
        <f t="shared" si="2"/>
        <v>1431.0310462190507</v>
      </c>
      <c r="P12" s="110">
        <f t="shared" si="3"/>
        <v>197.68229798021824</v>
      </c>
    </row>
    <row r="13" spans="2:17" x14ac:dyDescent="0.35">
      <c r="B13" s="5" t="s">
        <v>196</v>
      </c>
      <c r="H13" s="109">
        <v>5.75</v>
      </c>
      <c r="I13" s="80">
        <v>3173.7333333333331</v>
      </c>
      <c r="J13" s="80">
        <v>24.967952380952379</v>
      </c>
      <c r="K13" s="80">
        <v>1.1768142857142856</v>
      </c>
      <c r="L13" s="45"/>
      <c r="M13" s="80">
        <f t="shared" si="0"/>
        <v>332.98685743820175</v>
      </c>
      <c r="N13" s="80">
        <f t="shared" si="1"/>
        <v>1115.1999182111315</v>
      </c>
      <c r="O13" s="80">
        <f t="shared" si="2"/>
        <v>1436.687271682357</v>
      </c>
      <c r="P13" s="110">
        <f t="shared" si="3"/>
        <v>198.96608594650979</v>
      </c>
    </row>
    <row r="14" spans="2:17" ht="15" customHeight="1" x14ac:dyDescent="0.35">
      <c r="B14" s="185" t="s">
        <v>217</v>
      </c>
      <c r="C14" s="185"/>
      <c r="D14" s="185"/>
      <c r="E14" s="185"/>
      <c r="F14" s="185"/>
      <c r="H14" s="109">
        <v>6</v>
      </c>
      <c r="I14" s="80">
        <v>3210.1047619047617</v>
      </c>
      <c r="J14" s="80">
        <v>25.251761904761906</v>
      </c>
      <c r="K14" s="80">
        <v>1.1700761904761903</v>
      </c>
      <c r="L14" s="45"/>
      <c r="M14" s="80">
        <f t="shared" si="0"/>
        <v>329.24435258642961</v>
      </c>
      <c r="N14" s="80">
        <f t="shared" si="1"/>
        <v>1112.0539093718173</v>
      </c>
      <c r="O14" s="80">
        <f t="shared" si="2"/>
        <v>1439.7371728192468</v>
      </c>
      <c r="P14" s="110">
        <f t="shared" si="3"/>
        <v>199.76375083229891</v>
      </c>
    </row>
    <row r="15" spans="2:17" x14ac:dyDescent="0.35">
      <c r="B15" s="184" t="s">
        <v>197</v>
      </c>
      <c r="C15" s="184"/>
      <c r="D15" s="184"/>
      <c r="E15" s="184"/>
      <c r="F15" s="184"/>
      <c r="H15" s="109">
        <v>6.25</v>
      </c>
      <c r="I15" s="80">
        <v>3237.7380952380954</v>
      </c>
      <c r="J15" s="80">
        <v>25.508571428571425</v>
      </c>
      <c r="K15" s="80">
        <v>1.1621285714285716</v>
      </c>
      <c r="L15" s="45"/>
      <c r="M15" s="80">
        <f t="shared" si="0"/>
        <v>325.92965949820791</v>
      </c>
      <c r="N15" s="80">
        <f t="shared" si="1"/>
        <v>1107.4136909310073</v>
      </c>
      <c r="O15" s="80">
        <f t="shared" si="2"/>
        <v>1442.1760211182111</v>
      </c>
      <c r="P15" s="110">
        <f t="shared" si="3"/>
        <v>200.55767241198927</v>
      </c>
    </row>
    <row r="16" spans="2:17" ht="15" customHeight="1" x14ac:dyDescent="0.35">
      <c r="B16" s="185" t="s">
        <v>216</v>
      </c>
      <c r="C16" s="185"/>
      <c r="D16" s="185"/>
      <c r="E16" s="185"/>
      <c r="F16" s="185"/>
      <c r="H16" s="109">
        <v>6.5</v>
      </c>
      <c r="I16" s="80">
        <v>3258.0999999999995</v>
      </c>
      <c r="J16" s="80">
        <v>25.74314285714285</v>
      </c>
      <c r="K16" s="80">
        <v>1.1581714285714284</v>
      </c>
      <c r="L16" s="45"/>
      <c r="M16" s="80">
        <f t="shared" si="0"/>
        <v>322.95978956948323</v>
      </c>
      <c r="N16" s="80">
        <f t="shared" si="1"/>
        <v>1103.9333537272951</v>
      </c>
      <c r="O16" s="80">
        <f t="shared" si="2"/>
        <v>1441.8781762505118</v>
      </c>
      <c r="P16" s="110">
        <f t="shared" si="3"/>
        <v>200.74803771614285</v>
      </c>
      <c r="Q16" s="11" t="s">
        <v>204</v>
      </c>
    </row>
    <row r="17" spans="2:16" x14ac:dyDescent="0.35">
      <c r="B17" t="s">
        <v>202</v>
      </c>
      <c r="H17" s="109">
        <v>6.75</v>
      </c>
      <c r="I17" s="80">
        <v>3272.5428571428574</v>
      </c>
      <c r="J17" s="80">
        <v>25.956142857142854</v>
      </c>
      <c r="K17" s="80">
        <v>1.1524095238095238</v>
      </c>
      <c r="L17" s="45"/>
      <c r="M17" s="80">
        <f t="shared" si="0"/>
        <v>320.3095331135487</v>
      </c>
      <c r="N17" s="80">
        <f t="shared" si="1"/>
        <v>1099.084347534673</v>
      </c>
      <c r="O17" s="80">
        <f t="shared" si="2"/>
        <v>1441.7343723534036</v>
      </c>
      <c r="P17" s="110">
        <f t="shared" si="3"/>
        <v>201.07159726181621</v>
      </c>
    </row>
    <row r="18" spans="2:16" x14ac:dyDescent="0.35">
      <c r="B18" t="s">
        <v>203</v>
      </c>
      <c r="H18" s="109">
        <v>7</v>
      </c>
      <c r="I18" s="80">
        <v>3282.2619047619046</v>
      </c>
      <c r="J18" s="80">
        <v>26.151142857142855</v>
      </c>
      <c r="K18" s="80">
        <v>1.1509142857142858</v>
      </c>
      <c r="L18" s="45"/>
      <c r="M18" s="80">
        <f t="shared" si="0"/>
        <v>317.92109604606196</v>
      </c>
      <c r="N18" s="80">
        <f t="shared" si="1"/>
        <v>1095.8920590241453</v>
      </c>
      <c r="O18" s="80">
        <f t="shared" si="2"/>
        <v>1439.1583418845401</v>
      </c>
      <c r="P18" s="110">
        <f t="shared" si="3"/>
        <v>200.80253413784553</v>
      </c>
    </row>
    <row r="19" spans="2:16" x14ac:dyDescent="0.35">
      <c r="H19" s="109">
        <v>7.25</v>
      </c>
      <c r="I19" s="84">
        <v>3290.45</v>
      </c>
      <c r="J19" s="84">
        <v>26.334</v>
      </c>
      <c r="K19" s="84">
        <v>1.1484000000000001</v>
      </c>
      <c r="L19" s="45"/>
      <c r="M19" s="84">
        <f t="shared" si="0"/>
        <v>315.71352623984205</v>
      </c>
      <c r="N19" s="84">
        <f t="shared" si="1"/>
        <v>1092.246934059513</v>
      </c>
      <c r="O19" s="80">
        <f t="shared" si="2"/>
        <v>1437.0814599514813</v>
      </c>
      <c r="P19" s="110">
        <f t="shared" si="3"/>
        <v>200.66534200821457</v>
      </c>
    </row>
    <row r="20" spans="2:16" x14ac:dyDescent="0.35">
      <c r="H20" s="109">
        <v>7.5</v>
      </c>
      <c r="I20" s="84">
        <v>3293.46</v>
      </c>
      <c r="J20" s="84">
        <v>26.498999999999999</v>
      </c>
      <c r="K20" s="84">
        <v>1.1466000000000001</v>
      </c>
      <c r="L20" s="45"/>
      <c r="M20" s="84">
        <f t="shared" si="0"/>
        <v>313.74768859202237</v>
      </c>
      <c r="N20" s="84">
        <f t="shared" si="1"/>
        <v>1088.4849605154982</v>
      </c>
      <c r="O20" s="80">
        <f t="shared" si="2"/>
        <v>1434.0723704281888</v>
      </c>
      <c r="P20" s="110">
        <f t="shared" si="3"/>
        <v>200.35505913554741</v>
      </c>
    </row>
    <row r="21" spans="2:16" x14ac:dyDescent="0.35">
      <c r="H21" s="109">
        <v>7.75</v>
      </c>
      <c r="I21" s="84">
        <v>3294.1</v>
      </c>
      <c r="J21" s="84">
        <v>26.651</v>
      </c>
      <c r="K21" s="84">
        <v>1.1454</v>
      </c>
      <c r="L21" s="45"/>
      <c r="M21" s="84">
        <f t="shared" si="0"/>
        <v>311.95827548684855</v>
      </c>
      <c r="N21" s="84">
        <f t="shared" si="1"/>
        <v>1084.9138023359822</v>
      </c>
      <c r="O21" s="80">
        <f t="shared" si="2"/>
        <v>1430.6601847068459</v>
      </c>
      <c r="P21" s="110">
        <f t="shared" si="3"/>
        <v>199.95183343697619</v>
      </c>
    </row>
    <row r="22" spans="2:16" x14ac:dyDescent="0.35">
      <c r="H22" s="109">
        <v>8</v>
      </c>
      <c r="I22" s="84">
        <v>3292.86</v>
      </c>
      <c r="J22" s="84">
        <v>26.792000000000002</v>
      </c>
      <c r="K22" s="84">
        <v>1.1444000000000001</v>
      </c>
      <c r="L22" s="45"/>
      <c r="M22" s="105">
        <f t="shared" si="0"/>
        <v>310.31651239175869</v>
      </c>
      <c r="N22" s="105">
        <f t="shared" si="1"/>
        <v>1081.3791722563865</v>
      </c>
      <c r="O22" s="105">
        <f t="shared" si="2"/>
        <v>1427.0749648995904</v>
      </c>
      <c r="P22" s="110">
        <f t="shared" si="3"/>
        <v>199.51209687573595</v>
      </c>
    </row>
    <row r="23" spans="2:16" x14ac:dyDescent="0.35">
      <c r="H23" s="109">
        <v>8.25</v>
      </c>
      <c r="I23" s="84">
        <v>3290.1</v>
      </c>
      <c r="J23" s="84">
        <v>26.922999999999998</v>
      </c>
      <c r="K23" s="84">
        <v>1.1436999999999999</v>
      </c>
      <c r="L23" s="45"/>
      <c r="M23" s="84">
        <f t="shared" si="0"/>
        <v>308.806596590276</v>
      </c>
      <c r="N23" s="84">
        <f t="shared" si="1"/>
        <v>1077.963098664437</v>
      </c>
      <c r="O23" s="80">
        <f t="shared" si="2"/>
        <v>1423.3186485845417</v>
      </c>
      <c r="P23" s="110">
        <f t="shared" si="3"/>
        <v>199.02990640978686</v>
      </c>
    </row>
    <row r="24" spans="2:16" x14ac:dyDescent="0.35">
      <c r="H24" s="109">
        <v>8.5</v>
      </c>
      <c r="I24" s="84">
        <v>3286.13</v>
      </c>
      <c r="J24" s="84">
        <v>27.045999999999999</v>
      </c>
      <c r="K24" s="84">
        <v>1.1432</v>
      </c>
      <c r="L24" s="45"/>
      <c r="M24" s="84">
        <f t="shared" si="0"/>
        <v>307.4022036530356</v>
      </c>
      <c r="N24" s="84">
        <f t="shared" si="1"/>
        <v>1074.6250655508497</v>
      </c>
      <c r="O24" s="80">
        <f t="shared" si="2"/>
        <v>1419.4470791775079</v>
      </c>
      <c r="P24" s="110">
        <f t="shared" si="3"/>
        <v>198.51919646464765</v>
      </c>
    </row>
    <row r="25" spans="2:16" x14ac:dyDescent="0.35">
      <c r="H25" s="109">
        <v>8.75</v>
      </c>
      <c r="I25" s="84">
        <v>3281.19</v>
      </c>
      <c r="J25" s="84">
        <v>27.16</v>
      </c>
      <c r="K25" s="84">
        <v>1.1429</v>
      </c>
      <c r="L25" s="45"/>
      <c r="M25" s="84">
        <f t="shared" si="0"/>
        <v>306.11192930780561</v>
      </c>
      <c r="N25" s="84">
        <f t="shared" si="1"/>
        <v>1071.420454618489</v>
      </c>
      <c r="O25" s="84">
        <f t="shared" si="2"/>
        <v>1415.5349826849704</v>
      </c>
      <c r="P25" s="110">
        <f t="shared" si="3"/>
        <v>197.9904429506451</v>
      </c>
    </row>
    <row r="26" spans="2:16" x14ac:dyDescent="0.35">
      <c r="H26" s="109">
        <v>9</v>
      </c>
      <c r="I26" s="84">
        <v>3275.45</v>
      </c>
      <c r="J26" s="84">
        <v>27.266999999999999</v>
      </c>
      <c r="K26" s="84">
        <v>1.1427</v>
      </c>
      <c r="L26" s="45"/>
      <c r="M26" s="84">
        <f t="shared" si="0"/>
        <v>304.91069791322843</v>
      </c>
      <c r="N26" s="84">
        <f t="shared" si="1"/>
        <v>1068.2869713517355</v>
      </c>
      <c r="O26" s="84">
        <f t="shared" si="2"/>
        <v>1411.6084320254524</v>
      </c>
      <c r="P26" s="110">
        <f t="shared" si="3"/>
        <v>197.45346785152185</v>
      </c>
    </row>
    <row r="27" spans="2:16" x14ac:dyDescent="0.35">
      <c r="H27" s="109">
        <v>9.25</v>
      </c>
      <c r="I27" s="84">
        <v>3269.07</v>
      </c>
      <c r="J27" s="84">
        <v>27.367000000000001</v>
      </c>
      <c r="K27" s="84">
        <v>1.1427</v>
      </c>
      <c r="L27" s="45"/>
      <c r="M27" s="84">
        <f t="shared" si="0"/>
        <v>303.79654328205504</v>
      </c>
      <c r="N27" s="84">
        <f t="shared" si="1"/>
        <v>1065.2943845713139</v>
      </c>
      <c r="O27" s="84">
        <f t="shared" si="2"/>
        <v>1407.6541006088055</v>
      </c>
      <c r="P27" s="110">
        <f t="shared" si="3"/>
        <v>196.90034247090136</v>
      </c>
    </row>
    <row r="28" spans="2:16" x14ac:dyDescent="0.35">
      <c r="H28" s="109">
        <v>9.5</v>
      </c>
      <c r="I28" s="84">
        <v>3262.16</v>
      </c>
      <c r="J28" s="84">
        <v>27.462</v>
      </c>
      <c r="K28" s="84">
        <v>1.1427</v>
      </c>
      <c r="L28" s="45"/>
      <c r="M28" s="84">
        <f t="shared" si="0"/>
        <v>302.74561211856383</v>
      </c>
      <c r="N28" s="84">
        <f t="shared" si="1"/>
        <v>1062.3256591850677</v>
      </c>
      <c r="O28" s="84">
        <f t="shared" si="2"/>
        <v>1403.7312990583096</v>
      </c>
      <c r="P28" s="110">
        <f t="shared" si="3"/>
        <v>196.35162743614677</v>
      </c>
    </row>
    <row r="29" spans="2:16" x14ac:dyDescent="0.35">
      <c r="H29" s="109">
        <v>9.75</v>
      </c>
      <c r="I29" s="84">
        <v>3254.83</v>
      </c>
      <c r="J29" s="84">
        <v>27.55</v>
      </c>
      <c r="K29" s="84">
        <v>1.1428</v>
      </c>
      <c r="L29" s="45"/>
      <c r="M29" s="84">
        <f t="shared" si="0"/>
        <v>301.77858439201452</v>
      </c>
      <c r="N29" s="84">
        <f t="shared" si="1"/>
        <v>1059.4817482077433</v>
      </c>
      <c r="O29" s="84">
        <f t="shared" si="2"/>
        <v>1399.8676282188651</v>
      </c>
      <c r="P29" s="110">
        <f t="shared" si="3"/>
        <v>195.80511807403303</v>
      </c>
    </row>
    <row r="30" spans="2:16" x14ac:dyDescent="0.35">
      <c r="H30" s="109">
        <v>10</v>
      </c>
      <c r="I30" s="84">
        <v>3247.15</v>
      </c>
      <c r="J30" s="84">
        <v>27.634</v>
      </c>
      <c r="K30" s="84">
        <v>1.143</v>
      </c>
      <c r="L30" s="45"/>
      <c r="M30" s="84">
        <f t="shared" si="0"/>
        <v>300.86125787073894</v>
      </c>
      <c r="N30" s="84">
        <f t="shared" si="1"/>
        <v>1056.7139097621223</v>
      </c>
      <c r="O30" s="84">
        <f t="shared" si="2"/>
        <v>1395.9995653324638</v>
      </c>
      <c r="P30" s="110">
        <f t="shared" si="3"/>
        <v>195.25198595623343</v>
      </c>
    </row>
    <row r="31" spans="2:16" x14ac:dyDescent="0.35">
      <c r="H31" s="109">
        <v>10.25</v>
      </c>
      <c r="I31" s="84">
        <v>3239.18</v>
      </c>
      <c r="J31" s="84">
        <v>27.713000000000001</v>
      </c>
      <c r="K31" s="84">
        <v>1.1433</v>
      </c>
      <c r="L31" s="45"/>
      <c r="M31" s="84">
        <f t="shared" si="0"/>
        <v>300.00360841482336</v>
      </c>
      <c r="N31" s="84">
        <f t="shared" si="1"/>
        <v>1054.0491978267676</v>
      </c>
      <c r="O31" s="84">
        <f t="shared" si="2"/>
        <v>1392.163734312735</v>
      </c>
      <c r="P31" s="110">
        <f t="shared" si="3"/>
        <v>194.69741681266967</v>
      </c>
    </row>
    <row r="33" spans="8:9" x14ac:dyDescent="0.35">
      <c r="I33" s="106" t="s">
        <v>137</v>
      </c>
    </row>
    <row r="34" spans="8:9" x14ac:dyDescent="0.35">
      <c r="H34" s="107" t="s">
        <v>214</v>
      </c>
      <c r="I34" s="84">
        <v>70000</v>
      </c>
    </row>
    <row r="35" spans="8:9" x14ac:dyDescent="0.35">
      <c r="H35" s="107" t="s">
        <v>215</v>
      </c>
      <c r="I35" s="108">
        <f>CONVERT(350,"psi","Pa")</f>
        <v>2413165.0526089268</v>
      </c>
    </row>
    <row r="36" spans="8:9" x14ac:dyDescent="0.35">
      <c r="H36" s="4"/>
      <c r="I36" s="4"/>
    </row>
    <row r="37" spans="8:9" x14ac:dyDescent="0.35">
      <c r="H37" s="4"/>
      <c r="I37" s="4"/>
    </row>
  </sheetData>
  <mergeCells count="7">
    <mergeCell ref="B2:F3"/>
    <mergeCell ref="B11:E11"/>
    <mergeCell ref="B14:F14"/>
    <mergeCell ref="B15:F15"/>
    <mergeCell ref="B16:F16"/>
    <mergeCell ref="B5:F7"/>
    <mergeCell ref="B9:C9"/>
  </mergeCells>
  <hyperlinks>
    <hyperlink ref="B11" r:id="rId1" xr:uid="{00000000-0004-0000-0600-000000000000}"/>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P52"/>
  <sheetViews>
    <sheetView showGridLines="0" zoomScale="85" zoomScaleNormal="85" workbookViewId="0">
      <selection activeCell="D23" sqref="D23"/>
    </sheetView>
  </sheetViews>
  <sheetFormatPr defaultRowHeight="14.5" x14ac:dyDescent="0.35"/>
  <cols>
    <col min="1" max="1" width="2.81640625" customWidth="1"/>
    <col min="2" max="2" width="32.81640625" customWidth="1"/>
    <col min="3" max="7" width="15.7265625" customWidth="1"/>
    <col min="8" max="9" width="14.81640625" customWidth="1"/>
  </cols>
  <sheetData>
    <row r="2" spans="1:15" ht="37.5" customHeight="1" x14ac:dyDescent="0.35">
      <c r="B2" s="159" t="s">
        <v>183</v>
      </c>
      <c r="C2" s="159"/>
      <c r="D2" s="159"/>
      <c r="E2" s="159"/>
      <c r="F2" s="159"/>
      <c r="G2" s="159"/>
      <c r="H2" s="159"/>
    </row>
    <row r="3" spans="1:15" ht="15" thickBot="1" x14ac:dyDescent="0.4">
      <c r="B3" s="4"/>
      <c r="C3" s="3"/>
      <c r="D3" s="3"/>
      <c r="E3" s="3"/>
      <c r="F3" s="3"/>
      <c r="G3" s="3"/>
      <c r="H3" s="3"/>
    </row>
    <row r="4" spans="1:15" ht="30.75" customHeight="1" x14ac:dyDescent="0.35">
      <c r="B4" s="198" t="s">
        <v>188</v>
      </c>
      <c r="C4" s="199"/>
      <c r="D4" s="199"/>
      <c r="E4" s="199"/>
      <c r="F4" s="199"/>
      <c r="G4" s="199"/>
      <c r="H4" s="199"/>
      <c r="I4" s="199"/>
      <c r="J4" s="199"/>
      <c r="K4" s="199"/>
      <c r="L4" s="200"/>
    </row>
    <row r="5" spans="1:15" ht="30.75" customHeight="1" thickBot="1" x14ac:dyDescent="0.4">
      <c r="B5" s="201"/>
      <c r="C5" s="202"/>
      <c r="D5" s="202"/>
      <c r="E5" s="202"/>
      <c r="F5" s="202"/>
      <c r="G5" s="202"/>
      <c r="H5" s="202"/>
      <c r="I5" s="202"/>
      <c r="J5" s="202"/>
      <c r="K5" s="202"/>
      <c r="L5" s="203"/>
    </row>
    <row r="7" spans="1:15" ht="15.75" customHeight="1" x14ac:dyDescent="0.35">
      <c r="B7" s="69"/>
      <c r="C7" s="69"/>
      <c r="F7" s="88"/>
      <c r="G7" s="88"/>
      <c r="H7" s="88"/>
      <c r="I7" s="88"/>
      <c r="J7" s="88"/>
      <c r="K7" s="81"/>
    </row>
    <row r="8" spans="1:15" ht="15" customHeight="1" x14ac:dyDescent="0.35">
      <c r="B8" s="102" t="s">
        <v>165</v>
      </c>
      <c r="C8" s="70">
        <v>4.5</v>
      </c>
      <c r="E8" s="204" t="s">
        <v>213</v>
      </c>
      <c r="F8" s="205"/>
      <c r="G8" s="205"/>
      <c r="H8" s="205"/>
      <c r="I8" s="205"/>
      <c r="J8" s="205"/>
      <c r="K8" s="205"/>
      <c r="L8" s="206"/>
    </row>
    <row r="9" spans="1:15" ht="29.25" customHeight="1" x14ac:dyDescent="0.35">
      <c r="B9" s="103" t="s">
        <v>166</v>
      </c>
      <c r="C9" s="70">
        <v>350</v>
      </c>
      <c r="D9" s="87"/>
      <c r="E9" s="207"/>
      <c r="F9" s="208"/>
      <c r="G9" s="208"/>
      <c r="H9" s="208"/>
      <c r="I9" s="208"/>
      <c r="J9" s="208"/>
      <c r="K9" s="208"/>
      <c r="L9" s="209"/>
    </row>
    <row r="10" spans="1:15" x14ac:dyDescent="0.35">
      <c r="B10" s="102" t="s">
        <v>167</v>
      </c>
      <c r="C10" s="70">
        <v>0.375</v>
      </c>
      <c r="E10" s="210"/>
      <c r="F10" s="211"/>
      <c r="G10" s="211"/>
      <c r="H10" s="211"/>
      <c r="I10" s="211"/>
      <c r="J10" s="211"/>
      <c r="K10" s="211"/>
      <c r="L10" s="212"/>
    </row>
    <row r="11" spans="1:15" x14ac:dyDescent="0.35">
      <c r="B11" s="69"/>
      <c r="C11" s="101"/>
      <c r="E11" s="88"/>
      <c r="F11" s="88"/>
      <c r="G11" s="88"/>
      <c r="H11" s="88"/>
      <c r="I11" s="88"/>
      <c r="J11" s="88"/>
      <c r="K11" s="81"/>
    </row>
    <row r="12" spans="1:15" ht="15" thickBot="1" x14ac:dyDescent="0.4">
      <c r="A12" s="86"/>
      <c r="B12" s="76"/>
      <c r="C12" s="85"/>
      <c r="E12" s="88"/>
      <c r="F12" s="88"/>
      <c r="G12" s="88"/>
      <c r="H12" s="88"/>
      <c r="I12" s="88"/>
      <c r="J12" s="88"/>
      <c r="K12" s="81"/>
    </row>
    <row r="13" spans="1:15" ht="15" customHeight="1" x14ac:dyDescent="0.35">
      <c r="A13" s="86"/>
      <c r="B13" s="76"/>
      <c r="C13" s="85"/>
      <c r="E13" s="77"/>
      <c r="F13" s="77"/>
      <c r="G13" s="81"/>
      <c r="H13" s="81"/>
      <c r="I13" s="214" t="s">
        <v>190</v>
      </c>
      <c r="J13" s="215"/>
      <c r="K13" s="215"/>
      <c r="L13" s="215"/>
      <c r="M13" s="215"/>
      <c r="N13" s="215"/>
      <c r="O13" s="216"/>
    </row>
    <row r="14" spans="1:15" x14ac:dyDescent="0.35">
      <c r="A14" s="86"/>
      <c r="B14" s="76"/>
      <c r="C14" s="85"/>
      <c r="E14" s="4"/>
      <c r="F14" s="4"/>
      <c r="I14" s="217"/>
      <c r="J14" s="218"/>
      <c r="K14" s="218"/>
      <c r="L14" s="218"/>
      <c r="M14" s="218"/>
      <c r="N14" s="218"/>
      <c r="O14" s="219"/>
    </row>
    <row r="15" spans="1:15" ht="15" thickBot="1" x14ac:dyDescent="0.4">
      <c r="C15" s="85"/>
      <c r="E15" s="4"/>
      <c r="F15" s="4"/>
      <c r="I15" s="220"/>
      <c r="J15" s="221"/>
      <c r="K15" s="221"/>
      <c r="L15" s="221"/>
      <c r="M15" s="221"/>
      <c r="N15" s="221"/>
      <c r="O15" s="222"/>
    </row>
    <row r="16" spans="1:15" x14ac:dyDescent="0.35">
      <c r="C16" s="213" t="s">
        <v>209</v>
      </c>
      <c r="D16" s="213"/>
      <c r="E16" s="213"/>
      <c r="F16" s="213"/>
      <c r="G16" s="213"/>
    </row>
    <row r="17" spans="2:7" x14ac:dyDescent="0.35">
      <c r="C17" s="196" t="s">
        <v>205</v>
      </c>
      <c r="D17" s="197"/>
      <c r="E17" s="196" t="s">
        <v>168</v>
      </c>
      <c r="F17" s="197"/>
      <c r="G17" s="79" t="s">
        <v>206</v>
      </c>
    </row>
    <row r="18" spans="2:7" ht="15" thickBot="1" x14ac:dyDescent="0.4">
      <c r="C18" s="100" t="s">
        <v>207</v>
      </c>
      <c r="D18" s="100" t="s">
        <v>208</v>
      </c>
      <c r="E18" s="100" t="s">
        <v>207</v>
      </c>
      <c r="F18" s="100" t="s">
        <v>208</v>
      </c>
      <c r="G18" s="100" t="s">
        <v>207</v>
      </c>
    </row>
    <row r="19" spans="2:7" ht="15" customHeight="1" x14ac:dyDescent="0.35">
      <c r="B19" s="92" t="s">
        <v>170</v>
      </c>
      <c r="C19" s="90">
        <v>3.5</v>
      </c>
      <c r="D19" s="90">
        <v>5</v>
      </c>
      <c r="E19" s="90">
        <v>5</v>
      </c>
      <c r="F19" s="90">
        <v>7.5</v>
      </c>
      <c r="G19" s="90">
        <v>7.5</v>
      </c>
    </row>
    <row r="20" spans="2:7" ht="18" customHeight="1" x14ac:dyDescent="0.35">
      <c r="B20" s="25" t="s">
        <v>186</v>
      </c>
      <c r="C20" s="94">
        <v>7.3</v>
      </c>
      <c r="D20" s="94">
        <v>11.9</v>
      </c>
      <c r="E20" s="94">
        <v>11.2</v>
      </c>
      <c r="F20" s="94">
        <v>16.5</v>
      </c>
      <c r="G20" s="94">
        <v>12.2</v>
      </c>
    </row>
    <row r="21" spans="2:7" ht="18" customHeight="1" x14ac:dyDescent="0.35">
      <c r="B21" s="25" t="s">
        <v>177</v>
      </c>
      <c r="C21" s="94">
        <v>5.42</v>
      </c>
      <c r="D21" s="94">
        <v>8.5299999999999994</v>
      </c>
      <c r="E21" s="94">
        <v>8.58</v>
      </c>
      <c r="F21" s="94">
        <v>10.82</v>
      </c>
      <c r="G21" s="94">
        <v>10.77</v>
      </c>
    </row>
    <row r="22" spans="2:7" ht="15" thickBot="1" x14ac:dyDescent="0.4">
      <c r="B22" s="25" t="s">
        <v>178</v>
      </c>
      <c r="C22" s="94">
        <v>1.3</v>
      </c>
      <c r="D22" s="94">
        <v>3</v>
      </c>
      <c r="E22" s="94">
        <v>2.9</v>
      </c>
      <c r="F22" s="94">
        <v>4.5</v>
      </c>
      <c r="G22" s="94">
        <v>4</v>
      </c>
    </row>
    <row r="23" spans="2:7" ht="15.5" thickTop="1" thickBot="1" x14ac:dyDescent="0.4">
      <c r="B23" s="93"/>
      <c r="C23" s="91"/>
      <c r="D23" s="91"/>
      <c r="E23" s="91"/>
      <c r="F23" s="91"/>
      <c r="G23" s="91"/>
    </row>
    <row r="24" spans="2:7" ht="15" thickTop="1" x14ac:dyDescent="0.35">
      <c r="B24" s="25" t="s">
        <v>171</v>
      </c>
      <c r="C24" s="94">
        <v>10.199999999999999</v>
      </c>
      <c r="D24" s="94">
        <v>9.25</v>
      </c>
      <c r="E24" s="94">
        <v>9.1999999999999993</v>
      </c>
      <c r="F24" s="94">
        <v>8.9</v>
      </c>
      <c r="G24" s="94">
        <v>8.34</v>
      </c>
    </row>
    <row r="25" spans="2:7" ht="15" thickBot="1" x14ac:dyDescent="0.4">
      <c r="B25" s="25" t="s">
        <v>179</v>
      </c>
      <c r="C25" s="94">
        <v>19</v>
      </c>
      <c r="D25" s="94">
        <v>42</v>
      </c>
      <c r="E25" s="94">
        <v>42.5</v>
      </c>
      <c r="F25" s="94">
        <v>80</v>
      </c>
      <c r="G25" s="94">
        <v>80.099999999999994</v>
      </c>
    </row>
    <row r="26" spans="2:7" ht="15.5" thickTop="1" thickBot="1" x14ac:dyDescent="0.4">
      <c r="B26" s="93"/>
      <c r="C26" s="91"/>
      <c r="D26" s="91"/>
      <c r="E26" s="91"/>
      <c r="F26" s="91"/>
      <c r="G26" s="91"/>
    </row>
    <row r="27" spans="2:7" ht="15" thickTop="1" x14ac:dyDescent="0.35">
      <c r="B27" s="25" t="s">
        <v>180</v>
      </c>
      <c r="C27" s="94">
        <v>2.96</v>
      </c>
      <c r="D27" s="94">
        <v>4.16</v>
      </c>
      <c r="E27" s="94">
        <v>3.44</v>
      </c>
      <c r="F27" s="94">
        <v>4.7699999999999996</v>
      </c>
      <c r="G27" s="94">
        <v>3.68</v>
      </c>
    </row>
    <row r="28" spans="2:7" x14ac:dyDescent="0.35">
      <c r="B28" s="25" t="s">
        <v>181</v>
      </c>
      <c r="C28" s="94">
        <v>0.94</v>
      </c>
      <c r="D28" s="94">
        <v>1.95</v>
      </c>
      <c r="E28" s="94">
        <v>1.38</v>
      </c>
      <c r="F28" s="94">
        <v>2.5</v>
      </c>
      <c r="G28" s="94">
        <v>1.5</v>
      </c>
    </row>
    <row r="29" spans="2:7" x14ac:dyDescent="0.35">
      <c r="B29" s="25" t="s">
        <v>182</v>
      </c>
      <c r="C29" s="94">
        <v>0.6</v>
      </c>
      <c r="D29" s="94">
        <v>0.78</v>
      </c>
      <c r="E29" s="94">
        <v>0.72</v>
      </c>
      <c r="F29" s="94">
        <v>0.92</v>
      </c>
      <c r="G29" s="94">
        <v>0.86</v>
      </c>
    </row>
    <row r="30" spans="2:7" ht="15" thickBot="1" x14ac:dyDescent="0.4">
      <c r="B30" s="25" t="s">
        <v>212</v>
      </c>
      <c r="C30" s="94">
        <v>5.57</v>
      </c>
      <c r="D30" s="94">
        <v>2.6042000000000001</v>
      </c>
      <c r="E30" s="94">
        <v>6.61</v>
      </c>
      <c r="F30" s="94">
        <v>8.0500000000000007</v>
      </c>
      <c r="G30" s="94">
        <v>8.06</v>
      </c>
    </row>
    <row r="31" spans="2:7" ht="15.5" thickTop="1" thickBot="1" x14ac:dyDescent="0.4">
      <c r="B31" s="93"/>
      <c r="C31" s="91"/>
      <c r="D31" s="91"/>
      <c r="E31" s="91"/>
      <c r="F31" s="91"/>
      <c r="G31" s="91"/>
    </row>
    <row r="32" spans="2:7" ht="15" thickTop="1" x14ac:dyDescent="0.35">
      <c r="B32" s="25" t="s">
        <v>172</v>
      </c>
      <c r="C32" s="94">
        <v>28</v>
      </c>
      <c r="D32" s="94">
        <v>36</v>
      </c>
      <c r="E32" s="94">
        <v>37</v>
      </c>
      <c r="F32" s="94">
        <v>48</v>
      </c>
      <c r="G32" s="94">
        <v>54</v>
      </c>
    </row>
    <row r="33" spans="2:16" x14ac:dyDescent="0.35">
      <c r="B33" s="25" t="s">
        <v>173</v>
      </c>
      <c r="C33" s="94">
        <v>38.56</v>
      </c>
      <c r="D33" s="94">
        <v>59.37</v>
      </c>
      <c r="E33" s="94">
        <v>60.37</v>
      </c>
      <c r="F33" s="94">
        <v>91.86</v>
      </c>
      <c r="G33" s="94">
        <v>97.86</v>
      </c>
    </row>
    <row r="34" spans="2:16" x14ac:dyDescent="0.35">
      <c r="B34" s="25" t="s">
        <v>187</v>
      </c>
      <c r="C34" s="94">
        <f>C32/C33</f>
        <v>0.72614107883817425</v>
      </c>
      <c r="D34" s="94">
        <f>D32/D33</f>
        <v>0.60636685194542705</v>
      </c>
      <c r="E34" s="94">
        <f>E32/E33</f>
        <v>0.61288719562696703</v>
      </c>
      <c r="F34" s="94">
        <f>F32/F33</f>
        <v>0.52253429131286744</v>
      </c>
      <c r="G34" s="94">
        <f>G32/G33</f>
        <v>0.55180870631514412</v>
      </c>
    </row>
    <row r="35" spans="2:16" x14ac:dyDescent="0.35">
      <c r="B35" s="25" t="s">
        <v>174</v>
      </c>
      <c r="C35" s="94">
        <v>8.6349999999999998</v>
      </c>
      <c r="D35" s="94">
        <v>19.12</v>
      </c>
      <c r="E35" s="94">
        <v>19.12</v>
      </c>
      <c r="F35" s="94">
        <v>35.880000000000003</v>
      </c>
      <c r="G35" s="94">
        <v>35.9</v>
      </c>
    </row>
    <row r="36" spans="2:16" x14ac:dyDescent="0.35">
      <c r="B36" s="25" t="s">
        <v>175</v>
      </c>
      <c r="C36" s="94">
        <v>1.919</v>
      </c>
      <c r="D36" s="94">
        <v>4.25</v>
      </c>
      <c r="E36" s="94">
        <v>4.25</v>
      </c>
      <c r="F36" s="94">
        <v>7.97</v>
      </c>
      <c r="G36" s="94">
        <v>7.98</v>
      </c>
    </row>
    <row r="37" spans="2:16" ht="15" thickBot="1" x14ac:dyDescent="0.4">
      <c r="B37" s="35" t="s">
        <v>176</v>
      </c>
      <c r="C37" s="95">
        <v>1.585</v>
      </c>
      <c r="D37" s="95">
        <v>2.23</v>
      </c>
      <c r="E37" s="95">
        <v>2.234</v>
      </c>
      <c r="F37" s="95">
        <v>3.31</v>
      </c>
      <c r="G37" s="95">
        <v>3.32</v>
      </c>
    </row>
    <row r="39" spans="2:16" x14ac:dyDescent="0.35">
      <c r="B39" s="76" t="s">
        <v>169</v>
      </c>
      <c r="C39" s="99">
        <v>3.51</v>
      </c>
      <c r="D39" s="99">
        <v>5.4539999999999997</v>
      </c>
      <c r="E39" s="99">
        <v>5.45</v>
      </c>
      <c r="F39" s="99">
        <v>5.6070000000000002</v>
      </c>
      <c r="G39" s="99">
        <v>5.61</v>
      </c>
    </row>
    <row r="40" spans="2:16" x14ac:dyDescent="0.35">
      <c r="B40" s="86" t="s">
        <v>211</v>
      </c>
      <c r="C40" s="97">
        <v>0.14099999999999999</v>
      </c>
      <c r="D40" s="98">
        <f>C40+25.4/1000</f>
        <v>0.16639999999999999</v>
      </c>
      <c r="E40" s="97">
        <v>0.16800000000000001</v>
      </c>
      <c r="F40" s="98">
        <f>E40+25.4/1000</f>
        <v>0.19340000000000002</v>
      </c>
      <c r="G40" s="97">
        <v>0.219</v>
      </c>
    </row>
    <row r="41" spans="2:16" x14ac:dyDescent="0.35">
      <c r="B41" s="86" t="s">
        <v>210</v>
      </c>
      <c r="C41" s="96">
        <f>C27/C40</f>
        <v>20.99290780141844</v>
      </c>
      <c r="D41" s="96">
        <f t="shared" ref="D41:G41" si="0">D27/D40</f>
        <v>25.000000000000004</v>
      </c>
      <c r="E41" s="96">
        <f t="shared" si="0"/>
        <v>20.476190476190474</v>
      </c>
      <c r="F41" s="96">
        <f t="shared" si="0"/>
        <v>24.663908996897618</v>
      </c>
      <c r="G41" s="96">
        <f t="shared" si="0"/>
        <v>16.803652968036531</v>
      </c>
    </row>
    <row r="48" spans="2:16" ht="15" customHeight="1" x14ac:dyDescent="0.35">
      <c r="I48" s="78"/>
      <c r="J48" s="78"/>
      <c r="K48" s="78"/>
      <c r="L48" s="78"/>
      <c r="M48" s="78"/>
      <c r="N48" s="78"/>
      <c r="O48" s="78"/>
      <c r="P48" s="78"/>
    </row>
    <row r="49" spans="2:10" ht="15" customHeight="1" x14ac:dyDescent="0.35">
      <c r="G49" s="89"/>
      <c r="H49" s="89"/>
      <c r="I49" s="75"/>
      <c r="J49" s="75"/>
    </row>
    <row r="50" spans="2:10" x14ac:dyDescent="0.35">
      <c r="G50" s="89"/>
      <c r="H50" s="89"/>
      <c r="I50" s="75"/>
      <c r="J50" s="75"/>
    </row>
    <row r="51" spans="2:10" x14ac:dyDescent="0.35">
      <c r="G51" s="89"/>
      <c r="H51" s="89"/>
      <c r="I51" s="75"/>
      <c r="J51" s="75"/>
    </row>
    <row r="52" spans="2:10" x14ac:dyDescent="0.35">
      <c r="B52" s="75"/>
      <c r="C52" s="75"/>
      <c r="D52" s="75"/>
      <c r="E52" s="75"/>
      <c r="F52" s="75"/>
      <c r="G52" s="75"/>
      <c r="H52" s="75"/>
      <c r="I52" s="75"/>
      <c r="J52" s="75"/>
    </row>
  </sheetData>
  <mergeCells count="7">
    <mergeCell ref="E17:F17"/>
    <mergeCell ref="B2:H2"/>
    <mergeCell ref="B4:L5"/>
    <mergeCell ref="E8:L10"/>
    <mergeCell ref="C16:G16"/>
    <mergeCell ref="C17:D17"/>
    <mergeCell ref="I13:O15"/>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23"/>
  <sheetViews>
    <sheetView zoomScale="85" zoomScaleNormal="85" workbookViewId="0">
      <selection activeCell="Q43" sqref="Q43"/>
    </sheetView>
  </sheetViews>
  <sheetFormatPr defaultRowHeight="14.5" x14ac:dyDescent="0.35"/>
  <cols>
    <col min="1" max="1" width="20.1796875" customWidth="1"/>
    <col min="2" max="2" width="12" bestFit="1" customWidth="1"/>
  </cols>
  <sheetData>
    <row r="1" spans="1:4" x14ac:dyDescent="0.35">
      <c r="A1" s="111" t="s">
        <v>110</v>
      </c>
      <c r="B1">
        <f>150/B2</f>
        <v>15000</v>
      </c>
    </row>
    <row r="2" spans="1:4" x14ac:dyDescent="0.35">
      <c r="A2" s="111" t="s">
        <v>111</v>
      </c>
      <c r="B2">
        <v>0.01</v>
      </c>
      <c r="C2" s="81" t="s">
        <v>135</v>
      </c>
      <c r="D2" s="11" t="s">
        <v>156</v>
      </c>
    </row>
    <row r="3" spans="1:4" x14ac:dyDescent="0.35">
      <c r="A3" s="111" t="s">
        <v>113</v>
      </c>
      <c r="B3" s="18">
        <f>Recordbreaker!C27*1000</f>
        <v>94989.43204448474</v>
      </c>
      <c r="C3" s="81" t="s">
        <v>137</v>
      </c>
    </row>
    <row r="4" spans="1:4" x14ac:dyDescent="0.35">
      <c r="A4" s="111" t="s">
        <v>114</v>
      </c>
      <c r="B4" s="18">
        <f>41.864*LN(Recordbreaker!H24*1000)-353.37</f>
        <v>296.49024385724056</v>
      </c>
      <c r="C4" s="81" t="s">
        <v>138</v>
      </c>
      <c r="D4" s="11" t="s">
        <v>134</v>
      </c>
    </row>
    <row r="5" spans="1:4" x14ac:dyDescent="0.35">
      <c r="A5" s="111" t="s">
        <v>116</v>
      </c>
      <c r="B5" s="45">
        <f>Recordbreaker!N26</f>
        <v>5.0169869345784681</v>
      </c>
      <c r="C5" s="81" t="s">
        <v>140</v>
      </c>
    </row>
    <row r="6" spans="1:4" x14ac:dyDescent="0.35">
      <c r="A6" s="111" t="s">
        <v>117</v>
      </c>
      <c r="B6">
        <f>Recordbreaker!H29</f>
        <v>950</v>
      </c>
      <c r="C6" s="81" t="s">
        <v>138</v>
      </c>
    </row>
    <row r="7" spans="1:4" x14ac:dyDescent="0.35">
      <c r="A7" s="111" t="s">
        <v>118</v>
      </c>
      <c r="B7" s="45">
        <f>Recordbreaker!N27</f>
        <v>22.576441205603103</v>
      </c>
      <c r="C7" s="81" t="s">
        <v>138</v>
      </c>
    </row>
    <row r="8" spans="1:4" ht="16.5" x14ac:dyDescent="0.35">
      <c r="A8" s="111" t="s">
        <v>119</v>
      </c>
      <c r="B8" s="59">
        <f>Recordbreaker!N27/800*1.1</f>
        <v>3.104260665770427E-2</v>
      </c>
      <c r="C8" s="81" t="s">
        <v>145</v>
      </c>
      <c r="D8" s="11" t="s">
        <v>139</v>
      </c>
    </row>
    <row r="9" spans="1:4" x14ac:dyDescent="0.35">
      <c r="A9" s="111" t="s">
        <v>120</v>
      </c>
      <c r="B9" s="17">
        <f>'Import Data_Deliverance II URRG'!B11/'Import Data_Deliverance II URRG'!B10*'Import Data_Recordbreaker'!B10</f>
        <v>18.160704029318786</v>
      </c>
      <c r="C9" s="81" t="s">
        <v>140</v>
      </c>
    </row>
    <row r="10" spans="1:4" x14ac:dyDescent="0.35">
      <c r="A10" s="111" t="s">
        <v>52</v>
      </c>
      <c r="B10">
        <f>Recordbreaker!H30</f>
        <v>1.55E-4</v>
      </c>
      <c r="C10" s="81"/>
    </row>
    <row r="11" spans="1:4" x14ac:dyDescent="0.35">
      <c r="A11" s="111" t="s">
        <v>121</v>
      </c>
      <c r="B11" s="42">
        <f>Recordbreaker!H31</f>
        <v>0.5</v>
      </c>
      <c r="C11" s="81"/>
    </row>
    <row r="12" spans="1:4" x14ac:dyDescent="0.35">
      <c r="A12" s="111" t="s">
        <v>122</v>
      </c>
      <c r="B12">
        <f>Recordbreaker!R25</f>
        <v>1</v>
      </c>
      <c r="C12" s="81"/>
    </row>
    <row r="13" spans="1:4" x14ac:dyDescent="0.35">
      <c r="A13" s="111" t="s">
        <v>123</v>
      </c>
      <c r="B13" s="17">
        <f>Recordbreaker!R28</f>
        <v>0.71721010727924761</v>
      </c>
      <c r="C13" s="81" t="s">
        <v>146</v>
      </c>
    </row>
    <row r="14" spans="1:4" x14ac:dyDescent="0.35">
      <c r="A14" s="111" t="s">
        <v>124</v>
      </c>
      <c r="B14" s="17">
        <f>Recordbreaker!R30</f>
        <v>2.3514504912847428E-2</v>
      </c>
      <c r="C14" s="81" t="s">
        <v>146</v>
      </c>
    </row>
    <row r="15" spans="1:4" x14ac:dyDescent="0.35">
      <c r="A15" s="111" t="s">
        <v>125</v>
      </c>
      <c r="B15" s="17">
        <f>Recordbreaker!R29/2</f>
        <v>6.1594868034884329E-2</v>
      </c>
      <c r="C15" s="81" t="s">
        <v>146</v>
      </c>
    </row>
    <row r="16" spans="1:4" ht="16.5" x14ac:dyDescent="0.35">
      <c r="A16" s="111" t="s">
        <v>126</v>
      </c>
      <c r="B16" s="17">
        <f>Recordbreaker!N35</f>
        <v>1.5489650980400821E-3</v>
      </c>
      <c r="C16" s="81" t="s">
        <v>147</v>
      </c>
    </row>
    <row r="17" spans="1:4" ht="16.5" x14ac:dyDescent="0.35">
      <c r="A17" s="111" t="s">
        <v>127</v>
      </c>
      <c r="B17" s="17">
        <f>Recordbreaker!N36</f>
        <v>8.4826610442231901E-3</v>
      </c>
      <c r="C17" s="81" t="s">
        <v>147</v>
      </c>
    </row>
    <row r="18" spans="1:4" ht="16.5" x14ac:dyDescent="0.35">
      <c r="A18" s="111" t="s">
        <v>129</v>
      </c>
      <c r="B18">
        <f>Recordbreaker!N31/(44.013*B19*SQRT(2/44.013*(B22-B23)/0.0543))</f>
        <v>1.0804133154674429E-4</v>
      </c>
      <c r="C18" s="81" t="s">
        <v>147</v>
      </c>
      <c r="D18" s="11" t="s">
        <v>154</v>
      </c>
    </row>
    <row r="19" spans="1:4" x14ac:dyDescent="0.35">
      <c r="A19" s="111" t="s">
        <v>130</v>
      </c>
      <c r="B19">
        <v>0.42</v>
      </c>
      <c r="C19" s="81"/>
    </row>
    <row r="20" spans="1:4" x14ac:dyDescent="0.35">
      <c r="A20" s="111" t="s">
        <v>131</v>
      </c>
      <c r="B20">
        <f>Recordbreaker!C36</f>
        <v>0.9</v>
      </c>
      <c r="C20" s="81"/>
    </row>
    <row r="21" spans="1:4" x14ac:dyDescent="0.35">
      <c r="A21" s="111" t="s">
        <v>132</v>
      </c>
      <c r="B21">
        <f>Recordbreaker!C37</f>
        <v>0.9</v>
      </c>
      <c r="C21" s="81"/>
    </row>
    <row r="22" spans="1:4" ht="16.5" x14ac:dyDescent="0.45">
      <c r="A22" s="65" t="s">
        <v>142</v>
      </c>
      <c r="B22" s="18">
        <f>Recordbreaker!H24*1000</f>
        <v>5515805.8345346898</v>
      </c>
      <c r="C22" s="81" t="s">
        <v>137</v>
      </c>
    </row>
    <row r="23" spans="1:4" ht="16.5" x14ac:dyDescent="0.45">
      <c r="A23" s="4" t="s">
        <v>151</v>
      </c>
      <c r="B23" s="18">
        <f>Recordbreaker!H20*1000</f>
        <v>3102640.7819257625</v>
      </c>
      <c r="C23" s="81" t="s">
        <v>137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Deliverance II (OF 4.5)</vt:lpstr>
      <vt:lpstr>Deliverance II</vt:lpstr>
      <vt:lpstr>Recordbreaker</vt:lpstr>
      <vt:lpstr>Import Data_Deliverance II</vt:lpstr>
      <vt:lpstr>Import Data_Deliverance II URRG</vt:lpstr>
      <vt:lpstr>Import Data_Recordbreaker</vt:lpstr>
      <vt:lpstr>OF Trade for Record Breaker</vt:lpstr>
      <vt:lpstr>Results</vt:lpstr>
      <vt:lpstr>Import Engine_Sim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Jacob Weber</cp:lastModifiedBy>
  <dcterms:created xsi:type="dcterms:W3CDTF">2015-06-05T18:17:20Z</dcterms:created>
  <dcterms:modified xsi:type="dcterms:W3CDTF">2020-01-04T02:18:25Z</dcterms:modified>
</cp:coreProperties>
</file>